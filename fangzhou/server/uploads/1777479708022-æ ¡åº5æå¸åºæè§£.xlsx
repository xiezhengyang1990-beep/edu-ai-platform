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<sst xmlns="http://schemas.openxmlformats.org/spreadsheetml/2006/main" count="133" uniqueCount="23">
  <si>
    <t>5月校区市场拆标逻辑</t>
  </si>
  <si>
    <t>校区</t>
  </si>
  <si>
    <t>新签人头标</t>
  </si>
  <si>
    <t>地推（校区+市场）</t>
  </si>
  <si>
    <t>诺到转化率</t>
  </si>
  <si>
    <t>诺到数</t>
  </si>
  <si>
    <t>leads到诺到率</t>
  </si>
  <si>
    <t>leads量</t>
  </si>
  <si>
    <t>点评+用户增长</t>
  </si>
  <si>
    <t>点评+用户增长转化率</t>
  </si>
  <si>
    <t>点评+用户增长leads量</t>
  </si>
  <si>
    <t>转介绍</t>
  </si>
  <si>
    <t>转介绍转化率</t>
  </si>
  <si>
    <t>转介绍leads量</t>
  </si>
  <si>
    <t>wi</t>
  </si>
  <si>
    <t>tmk洗库</t>
  </si>
  <si>
    <t>资源转化率</t>
  </si>
  <si>
    <t>校区资源总量</t>
  </si>
  <si>
    <t>老生新签</t>
  </si>
  <si>
    <t>合计</t>
  </si>
  <si>
    <t>森宏</t>
  </si>
  <si>
    <t>地推</t>
  </si>
  <si>
    <t>上南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</si>
</sst>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X21"/>
  <sheetViews>
    <sheetView tabSelected="1" zoomScale="90" zoomScaleNormal="90" topLeftCell="E1" workbookViewId="0">
      <selection activeCell="D4" sqref="D4:W21"/>
    </sheetView>
  </sheetViews>
  <sheetFormatPr defaultColWidth="9.23076923076923" defaultRowHeight="16.8"/>
  <cols>
    <col min="2" max="2" width="12.9230769230769"/>
    <col min="4" max="4" width="6" customWidth="1"/>
    <col min="5" max="5" width="12.7692307692308" customWidth="1"/>
    <col min="6" max="6" width="21.6153846153846" customWidth="1"/>
    <col min="7" max="7" width="12.7692307692308" customWidth="1"/>
    <col min="8" max="8" width="8.15384615384615" customWidth="1"/>
    <col min="9" max="9" width="15.3076923076923" customWidth="1"/>
    <col min="10" max="10" width="8.30769230769231" customWidth="1"/>
    <col min="11" max="11" width="16.7692307692308" customWidth="1"/>
    <col min="12" max="12" width="24.0769230769231" customWidth="1"/>
    <col min="13" max="13" width="24.2307692307692" customWidth="1"/>
    <col min="14" max="14" width="8.15384615384615" customWidth="1"/>
    <col min="15" max="15" width="15.1538461538462" customWidth="1"/>
    <col min="16" max="16" width="15.3076923076923" customWidth="1"/>
    <col min="17" max="17" width="3.76923076923077" customWidth="1"/>
    <col min="18" max="18" width="9.38461538461539" customWidth="1"/>
    <col min="19" max="19" width="12.7692307692308" customWidth="1"/>
    <col min="20" max="20" width="15.1538461538462" customWidth="1"/>
    <col min="21" max="21" width="10.3076923076923" customWidth="1"/>
    <col min="22" max="22" width="12.7692307692308" customWidth="1"/>
    <col min="23" max="23" width="15.1538461538462" customWidth="1"/>
  </cols>
  <sheetData>
    <row r="3" spans="4:22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4:23">
      <c r="D4" s="2" t="s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4:24"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  <c r="O5" s="2" t="s">
        <v>12</v>
      </c>
      <c r="P5" s="2" t="s">
        <v>13</v>
      </c>
      <c r="Q5" s="2" t="s">
        <v>14</v>
      </c>
      <c r="R5" s="2" t="s">
        <v>15</v>
      </c>
      <c r="S5" s="2" t="s">
        <v>16</v>
      </c>
      <c r="T5" s="2" t="s">
        <v>17</v>
      </c>
      <c r="U5" s="2" t="s">
        <v>18</v>
      </c>
      <c r="V5" s="2" t="s">
        <v>16</v>
      </c>
      <c r="W5" s="2" t="s">
        <v>17</v>
      </c>
      <c r="X5" t="s">
        <v>19</v>
      </c>
    </row>
    <row r="6" spans="4:24">
      <c r="D6" s="2" t="s">
        <v>20</v>
      </c>
      <c r="E6" s="2">
        <v>56</v>
      </c>
      <c r="F6" s="2">
        <v>18</v>
      </c>
      <c r="G6" s="3">
        <v>0.33</v>
      </c>
      <c r="H6" s="4">
        <f>F6/G6</f>
        <v>54.5454545454545</v>
      </c>
      <c r="I6" s="5">
        <v>0.3</v>
      </c>
      <c r="J6" s="4">
        <f>H6/I6</f>
        <v>181.818181818182</v>
      </c>
      <c r="K6" s="2">
        <v>10</v>
      </c>
      <c r="L6" s="3">
        <v>0.3</v>
      </c>
      <c r="M6" s="4">
        <f>K6/L6</f>
        <v>33.3333333333333</v>
      </c>
      <c r="N6" s="4">
        <f>56*23%</f>
        <v>12.88</v>
      </c>
      <c r="O6" s="3">
        <v>0.6</v>
      </c>
      <c r="P6" s="4">
        <f>N6/O6</f>
        <v>21.4666666666667</v>
      </c>
      <c r="Q6" s="2">
        <v>3</v>
      </c>
      <c r="R6" s="2">
        <v>3</v>
      </c>
      <c r="S6" s="2"/>
      <c r="T6" s="2"/>
      <c r="U6" s="2">
        <v>10</v>
      </c>
      <c r="V6" s="2"/>
      <c r="W6" s="6"/>
      <c r="X6">
        <f>U6+R6+Q6+N6+K6+F6</f>
        <v>56.88</v>
      </c>
    </row>
    <row r="7" spans="4:23">
      <c r="D7" s="2" t="s">
        <v>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4:23">
      <c r="D8" s="2" t="s">
        <v>1</v>
      </c>
      <c r="E8" s="2" t="s">
        <v>2</v>
      </c>
      <c r="F8" s="2" t="s">
        <v>21</v>
      </c>
      <c r="G8" s="2" t="s">
        <v>4</v>
      </c>
      <c r="H8" s="2" t="s">
        <v>5</v>
      </c>
      <c r="I8" s="2" t="s">
        <v>6</v>
      </c>
      <c r="J8" s="2" t="s">
        <v>7</v>
      </c>
      <c r="K8" s="2" t="s">
        <v>8</v>
      </c>
      <c r="L8" s="2" t="s">
        <v>9</v>
      </c>
      <c r="M8" s="2" t="s">
        <v>10</v>
      </c>
      <c r="N8" s="2" t="s">
        <v>11</v>
      </c>
      <c r="O8" s="2" t="s">
        <v>12</v>
      </c>
      <c r="P8" s="2" t="s">
        <v>13</v>
      </c>
      <c r="Q8" s="2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16</v>
      </c>
      <c r="W8" s="2" t="s">
        <v>17</v>
      </c>
    </row>
    <row r="9" spans="4:24">
      <c r="D9" s="2" t="s">
        <v>22</v>
      </c>
      <c r="E9" s="2">
        <v>65</v>
      </c>
      <c r="F9" s="2">
        <v>21</v>
      </c>
      <c r="G9" s="3">
        <v>0.33</v>
      </c>
      <c r="H9" s="4">
        <f t="shared" ref="H9:M9" si="0">F9/G9</f>
        <v>63.6363636363636</v>
      </c>
      <c r="I9" s="5">
        <v>0.3</v>
      </c>
      <c r="J9" s="4">
        <f t="shared" si="0"/>
        <v>212.121212121212</v>
      </c>
      <c r="K9" s="2">
        <v>11</v>
      </c>
      <c r="L9" s="3">
        <v>0.3</v>
      </c>
      <c r="M9" s="4">
        <f t="shared" si="0"/>
        <v>36.6666666666667</v>
      </c>
      <c r="N9" s="4">
        <v>15</v>
      </c>
      <c r="O9" s="3">
        <v>0.6</v>
      </c>
      <c r="P9" s="4">
        <f>N9/O9</f>
        <v>25</v>
      </c>
      <c r="Q9" s="2">
        <v>3</v>
      </c>
      <c r="R9" s="2">
        <v>3</v>
      </c>
      <c r="S9" s="2"/>
      <c r="T9" s="2"/>
      <c r="U9" s="2">
        <v>12</v>
      </c>
      <c r="V9" s="2"/>
      <c r="W9" s="6"/>
      <c r="X9">
        <f>U9+R9+Q9+N9+K9+F9</f>
        <v>65</v>
      </c>
    </row>
    <row r="10" spans="4:23">
      <c r="D10" s="2" t="s"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4:23">
      <c r="D11" s="2" t="s">
        <v>1</v>
      </c>
      <c r="E11" s="2" t="s">
        <v>2</v>
      </c>
      <c r="F11" s="2" t="s">
        <v>21</v>
      </c>
      <c r="G11" s="2" t="s">
        <v>4</v>
      </c>
      <c r="H11" s="2" t="s">
        <v>5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2" t="s">
        <v>17</v>
      </c>
      <c r="U11" s="2" t="s">
        <v>18</v>
      </c>
      <c r="V11" s="2" t="s">
        <v>16</v>
      </c>
      <c r="W11" s="2" t="s">
        <v>17</v>
      </c>
    </row>
    <row r="12" spans="4:23">
      <c r="D12" s="2" t="s">
        <v>20</v>
      </c>
      <c r="E12" s="2">
        <v>56</v>
      </c>
      <c r="F12" s="2">
        <v>12</v>
      </c>
      <c r="G12" s="3">
        <v>0.33</v>
      </c>
      <c r="H12" s="4">
        <f t="shared" ref="H12:M12" si="1">F12/G12</f>
        <v>36.3636363636364</v>
      </c>
      <c r="I12" s="5">
        <v>0.3</v>
      </c>
      <c r="J12" s="4">
        <f t="shared" si="1"/>
        <v>121.212121212121</v>
      </c>
      <c r="K12" s="2">
        <v>10</v>
      </c>
      <c r="L12" s="3">
        <v>0.3</v>
      </c>
      <c r="M12" s="4">
        <f t="shared" si="1"/>
        <v>33.3333333333333</v>
      </c>
      <c r="N12" s="4">
        <f>56*23%</f>
        <v>12.88</v>
      </c>
      <c r="O12" s="3">
        <v>0.6</v>
      </c>
      <c r="P12" s="4">
        <f>N12/O12</f>
        <v>21.4666666666667</v>
      </c>
      <c r="Q12" s="2">
        <v>3</v>
      </c>
      <c r="R12" s="2">
        <v>3</v>
      </c>
      <c r="S12" s="2"/>
      <c r="T12" s="2"/>
      <c r="U12" s="2">
        <v>5</v>
      </c>
      <c r="V12" s="2"/>
      <c r="W12" s="6"/>
    </row>
    <row r="13" spans="4:23">
      <c r="D13" s="2" t="s">
        <v>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4:23">
      <c r="D14" s="2" t="s">
        <v>1</v>
      </c>
      <c r="E14" s="2" t="s">
        <v>2</v>
      </c>
      <c r="F14" s="2" t="s">
        <v>21</v>
      </c>
      <c r="G14" s="2" t="s">
        <v>4</v>
      </c>
      <c r="H14" s="2" t="s">
        <v>5</v>
      </c>
      <c r="I14" s="2" t="s">
        <v>6</v>
      </c>
      <c r="J14" s="2" t="s">
        <v>7</v>
      </c>
      <c r="K14" s="2" t="s">
        <v>8</v>
      </c>
      <c r="L14" s="2" t="s">
        <v>9</v>
      </c>
      <c r="M14" s="2" t="s">
        <v>10</v>
      </c>
      <c r="N14" s="2" t="s">
        <v>11</v>
      </c>
      <c r="O14" s="2" t="s">
        <v>12</v>
      </c>
      <c r="P14" s="2" t="s">
        <v>13</v>
      </c>
      <c r="Q14" s="2" t="s">
        <v>14</v>
      </c>
      <c r="R14" s="2" t="s">
        <v>15</v>
      </c>
      <c r="S14" s="2" t="s">
        <v>16</v>
      </c>
      <c r="T14" s="2" t="s">
        <v>17</v>
      </c>
      <c r="U14" s="2" t="s">
        <v>18</v>
      </c>
      <c r="V14" s="2" t="s">
        <v>16</v>
      </c>
      <c r="W14" s="2" t="s">
        <v>17</v>
      </c>
    </row>
    <row r="15" spans="4:23">
      <c r="D15" s="2" t="s">
        <v>20</v>
      </c>
      <c r="E15" s="2">
        <v>56</v>
      </c>
      <c r="F15" s="2">
        <v>12</v>
      </c>
      <c r="G15" s="3">
        <v>0.33</v>
      </c>
      <c r="H15" s="4">
        <f t="shared" ref="H15:M15" si="2">F15/G15</f>
        <v>36.3636363636364</v>
      </c>
      <c r="I15" s="5">
        <v>0.3</v>
      </c>
      <c r="J15" s="4">
        <f t="shared" si="2"/>
        <v>121.212121212121</v>
      </c>
      <c r="K15" s="2">
        <v>10</v>
      </c>
      <c r="L15" s="3">
        <v>0.3</v>
      </c>
      <c r="M15" s="4">
        <f t="shared" si="2"/>
        <v>33.3333333333333</v>
      </c>
      <c r="N15" s="4">
        <f>56*23%</f>
        <v>12.88</v>
      </c>
      <c r="O15" s="3">
        <v>0.6</v>
      </c>
      <c r="P15" s="4">
        <f>N15/O15</f>
        <v>21.4666666666667</v>
      </c>
      <c r="Q15" s="2">
        <v>3</v>
      </c>
      <c r="R15" s="2">
        <v>3</v>
      </c>
      <c r="S15" s="2"/>
      <c r="T15" s="2"/>
      <c r="U15" s="2">
        <v>5</v>
      </c>
      <c r="V15" s="2"/>
      <c r="W15" s="6"/>
    </row>
    <row r="16" spans="4:23">
      <c r="D16" s="2" t="s">
        <v>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4:23">
      <c r="D17" s="2" t="s">
        <v>1</v>
      </c>
      <c r="E17" s="2" t="s">
        <v>2</v>
      </c>
      <c r="F17" s="2" t="s">
        <v>21</v>
      </c>
      <c r="G17" s="2" t="s">
        <v>4</v>
      </c>
      <c r="H17" s="2" t="s">
        <v>5</v>
      </c>
      <c r="I17" s="2" t="s">
        <v>6</v>
      </c>
      <c r="J17" s="2" t="s">
        <v>7</v>
      </c>
      <c r="K17" s="2" t="s">
        <v>8</v>
      </c>
      <c r="L17" s="2" t="s">
        <v>9</v>
      </c>
      <c r="M17" s="2" t="s">
        <v>10</v>
      </c>
      <c r="N17" s="2" t="s">
        <v>11</v>
      </c>
      <c r="O17" s="2" t="s">
        <v>12</v>
      </c>
      <c r="P17" s="2" t="s">
        <v>13</v>
      </c>
      <c r="Q17" s="2" t="s">
        <v>14</v>
      </c>
      <c r="R17" s="2" t="s">
        <v>15</v>
      </c>
      <c r="S17" s="2" t="s">
        <v>16</v>
      </c>
      <c r="T17" s="2" t="s">
        <v>17</v>
      </c>
      <c r="U17" s="2" t="s">
        <v>18</v>
      </c>
      <c r="V17" s="2" t="s">
        <v>16</v>
      </c>
      <c r="W17" s="2" t="s">
        <v>17</v>
      </c>
    </row>
    <row r="18" spans="4:23">
      <c r="D18" s="2" t="s">
        <v>20</v>
      </c>
      <c r="E18" s="2">
        <v>56</v>
      </c>
      <c r="F18" s="2">
        <v>12</v>
      </c>
      <c r="G18" s="3">
        <v>0.33</v>
      </c>
      <c r="H18" s="4">
        <f t="shared" ref="H18:M18" si="3">F18/G18</f>
        <v>36.3636363636364</v>
      </c>
      <c r="I18" s="5">
        <v>0.3</v>
      </c>
      <c r="J18" s="4">
        <f t="shared" si="3"/>
        <v>121.212121212121</v>
      </c>
      <c r="K18" s="2">
        <v>10</v>
      </c>
      <c r="L18" s="3">
        <v>0.3</v>
      </c>
      <c r="M18" s="4">
        <f t="shared" si="3"/>
        <v>33.3333333333333</v>
      </c>
      <c r="N18" s="4">
        <f>56*23%</f>
        <v>12.88</v>
      </c>
      <c r="O18" s="3">
        <v>0.6</v>
      </c>
      <c r="P18" s="4">
        <f>N18/O18</f>
        <v>21.4666666666667</v>
      </c>
      <c r="Q18" s="2">
        <v>3</v>
      </c>
      <c r="R18" s="2">
        <v>3</v>
      </c>
      <c r="S18" s="2"/>
      <c r="T18" s="2"/>
      <c r="U18" s="2">
        <v>5</v>
      </c>
      <c r="V18" s="2"/>
      <c r="W18" s="6"/>
    </row>
    <row r="19" spans="4:23">
      <c r="D19" s="2" t="s">
        <v>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4:23">
      <c r="D20" s="2" t="s">
        <v>1</v>
      </c>
      <c r="E20" s="2" t="s">
        <v>2</v>
      </c>
      <c r="F20" s="2" t="s">
        <v>21</v>
      </c>
      <c r="G20" s="2" t="s">
        <v>4</v>
      </c>
      <c r="H20" s="2" t="s">
        <v>5</v>
      </c>
      <c r="I20" s="2" t="s">
        <v>6</v>
      </c>
      <c r="J20" s="2" t="s">
        <v>7</v>
      </c>
      <c r="K20" s="2" t="s">
        <v>8</v>
      </c>
      <c r="L20" s="2" t="s">
        <v>9</v>
      </c>
      <c r="M20" s="2" t="s">
        <v>10</v>
      </c>
      <c r="N20" s="2" t="s">
        <v>11</v>
      </c>
      <c r="O20" s="2" t="s">
        <v>12</v>
      </c>
      <c r="P20" s="2" t="s">
        <v>13</v>
      </c>
      <c r="Q20" s="2" t="s">
        <v>14</v>
      </c>
      <c r="R20" s="2" t="s">
        <v>15</v>
      </c>
      <c r="S20" s="2" t="s">
        <v>16</v>
      </c>
      <c r="T20" s="2" t="s">
        <v>17</v>
      </c>
      <c r="U20" s="2" t="s">
        <v>18</v>
      </c>
      <c r="V20" s="2" t="s">
        <v>16</v>
      </c>
      <c r="W20" s="2" t="s">
        <v>17</v>
      </c>
    </row>
    <row r="21" spans="4:23">
      <c r="D21" s="2" t="s">
        <v>20</v>
      </c>
      <c r="E21" s="2">
        <v>56</v>
      </c>
      <c r="F21" s="2">
        <v>12</v>
      </c>
      <c r="G21" s="3">
        <v>0.33</v>
      </c>
      <c r="H21" s="4">
        <f t="shared" ref="H21:M21" si="4">F21/G21</f>
        <v>36.3636363636364</v>
      </c>
      <c r="I21" s="5">
        <v>0.3</v>
      </c>
      <c r="J21" s="4">
        <f t="shared" si="4"/>
        <v>121.212121212121</v>
      </c>
      <c r="K21" s="2">
        <v>10</v>
      </c>
      <c r="L21" s="3">
        <v>0.3</v>
      </c>
      <c r="M21" s="4">
        <f t="shared" si="4"/>
        <v>33.3333333333333</v>
      </c>
      <c r="N21" s="4">
        <f>56*23%</f>
        <v>12.88</v>
      </c>
      <c r="O21" s="3">
        <v>0.6</v>
      </c>
      <c r="P21" s="4">
        <f>N21/O21</f>
        <v>21.4666666666667</v>
      </c>
      <c r="Q21" s="2">
        <v>3</v>
      </c>
      <c r="R21" s="2">
        <v>3</v>
      </c>
      <c r="S21" s="2"/>
      <c r="T21" s="2"/>
      <c r="U21" s="2">
        <v>5</v>
      </c>
      <c r="V21" s="2"/>
      <c r="W21" s="6"/>
    </row>
  </sheetData>
  <mergeCells count="6">
    <mergeCell ref="D4:W4"/>
    <mergeCell ref="D7:W7"/>
    <mergeCell ref="D10:W10"/>
    <mergeCell ref="D13:W13"/>
    <mergeCell ref="D16:W16"/>
    <mergeCell ref="D19:W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2025-05-04T12:40:17Z</dcterms:created>
  <dcterms:modified xsi:type="dcterms:W3CDTF">2025-05-04T13:29:14Z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FD608EB96C7B4F3AB1EF1668612D89D9_41</vt:lpwstr>
  </property>
  <property fmtid="{D5CDD505-2E9C-101B-9397-08002B2CF9AE}" pid="3" name="KSOProductBuildVer">
    <vt:lpwstr>2052-6.8.2.8850</vt:lpwstr>
  </property>
</Properties>
</file>