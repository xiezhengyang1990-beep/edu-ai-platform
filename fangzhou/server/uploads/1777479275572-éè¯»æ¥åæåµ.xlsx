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600" activeTab="1"/>
  </bookViews>
  <sheets>
    <sheet name="浦东报名情况至8.31前" sheetId="2" r:id="rId1"/>
    <sheet name="闵行报名情况至8.31前" sheetId="3" r:id="rId2"/>
  </sheets>
  <calcPr calcId="144525"/>
</workbook>
</file>

<file path=xl/sharedStrings.xml><?xml version="1.0" encoding="utf-8"?>
<sst xmlns="http://schemas.openxmlformats.org/spreadsheetml/2006/main" count="1643" uniqueCount="357">
  <si>
    <t>合作报名录</t>
  </si>
  <si>
    <t>校区端6-7.31月（薛老师校区）</t>
  </si>
  <si>
    <t>序号</t>
  </si>
  <si>
    <t>计数</t>
  </si>
  <si>
    <t>学员名</t>
  </si>
  <si>
    <t>新老生</t>
  </si>
  <si>
    <t>年级</t>
  </si>
  <si>
    <t>上课老师</t>
  </si>
  <si>
    <t>原班时间</t>
  </si>
  <si>
    <t>级别</t>
  </si>
  <si>
    <t>校区</t>
  </si>
  <si>
    <t>报名老师</t>
  </si>
  <si>
    <t>报名时间</t>
  </si>
  <si>
    <t>报名课次</t>
  </si>
  <si>
    <t>赠送课次</t>
  </si>
  <si>
    <t>金额</t>
  </si>
  <si>
    <t>激励比例</t>
  </si>
  <si>
    <t>校区激励金额</t>
  </si>
  <si>
    <t>运营分成</t>
  </si>
  <si>
    <t>老师提成</t>
  </si>
  <si>
    <t>联系方式</t>
  </si>
  <si>
    <t>上课意向（备注）</t>
  </si>
  <si>
    <t>基本工资</t>
  </si>
  <si>
    <t>暑假正价报名人数</t>
  </si>
  <si>
    <t>总金额</t>
  </si>
  <si>
    <t>校区提成额（比例10%）</t>
  </si>
  <si>
    <t>店长（婷婷）33%</t>
  </si>
  <si>
    <t>招生（婷婷）老师66%</t>
  </si>
  <si>
    <t>张天佑</t>
  </si>
  <si>
    <t>老生</t>
  </si>
  <si>
    <t>大班</t>
  </si>
  <si>
    <t>韩越</t>
  </si>
  <si>
    <t>/</t>
  </si>
  <si>
    <t>拼音课</t>
  </si>
  <si>
    <t>金桥</t>
  </si>
  <si>
    <t>婷婷老师</t>
  </si>
  <si>
    <t>周三10：10
周五15：00</t>
  </si>
  <si>
    <t>赵祎恺</t>
  </si>
  <si>
    <t>店长（赵老师）33%</t>
  </si>
  <si>
    <t>招生（赵老师）老师66%</t>
  </si>
  <si>
    <t>谢茸昕</t>
  </si>
  <si>
    <t>川沙</t>
  </si>
  <si>
    <t>陈一鸣</t>
  </si>
  <si>
    <t>合计</t>
  </si>
  <si>
    <t>周昀麒</t>
  </si>
  <si>
    <t>翡翠</t>
  </si>
  <si>
    <t>马老师</t>
  </si>
  <si>
    <t>周三13:30-15:00</t>
  </si>
  <si>
    <t>漫书院运营10%发放</t>
  </si>
  <si>
    <t>陈诺</t>
  </si>
  <si>
    <t>校区端6-7.31月（马老师校区）</t>
  </si>
  <si>
    <t>陆宇晗</t>
  </si>
  <si>
    <t>周六13:00</t>
  </si>
  <si>
    <t>阅读L0</t>
  </si>
  <si>
    <t>店长（马老师）33%</t>
  </si>
  <si>
    <t>招生（马老师）老师66%</t>
  </si>
  <si>
    <t>陆宇轩</t>
  </si>
  <si>
    <t>一年级</t>
  </si>
  <si>
    <t>苏苏</t>
  </si>
  <si>
    <t>周日15:00</t>
  </si>
  <si>
    <t>阅读L1</t>
  </si>
  <si>
    <t>唐昱梣</t>
  </si>
  <si>
    <t>周周</t>
  </si>
  <si>
    <t>周六14:00</t>
  </si>
  <si>
    <t>店长（陈老师）33%</t>
  </si>
  <si>
    <t>招生（陈老师）老师66%</t>
  </si>
  <si>
    <t>黄禹淳</t>
  </si>
  <si>
    <t>新生</t>
  </si>
  <si>
    <t>周六14：00</t>
  </si>
  <si>
    <t>陈老师</t>
  </si>
  <si>
    <t>店长（崔老师）33%</t>
  </si>
  <si>
    <t>招生（柿子老师）老师66%</t>
  </si>
  <si>
    <t>何予希</t>
  </si>
  <si>
    <t>周六16：00</t>
  </si>
  <si>
    <t>长泰</t>
  </si>
  <si>
    <t>柿子老师</t>
  </si>
  <si>
    <t>周六16:00</t>
  </si>
  <si>
    <t>李若瑜</t>
  </si>
  <si>
    <t>周三11：00</t>
  </si>
  <si>
    <t>邵老师</t>
  </si>
  <si>
    <t>周日9:00</t>
  </si>
  <si>
    <t>招生（邵老师）老师66%</t>
  </si>
  <si>
    <t>孟子溪</t>
  </si>
  <si>
    <t>崔老师</t>
  </si>
  <si>
    <t>张睿宸</t>
  </si>
  <si>
    <t>周日14:00</t>
  </si>
  <si>
    <t>赵老师</t>
  </si>
  <si>
    <t>周六11:00</t>
  </si>
  <si>
    <t>招生（崔老师）老师66%</t>
  </si>
  <si>
    <t>邵海桐</t>
  </si>
  <si>
    <t>二年级</t>
  </si>
  <si>
    <t>周三10:00</t>
  </si>
  <si>
    <t>周三上午10:00</t>
  </si>
  <si>
    <t>郑楚枫</t>
  </si>
  <si>
    <t>周三17:30；周五17:30</t>
  </si>
  <si>
    <t>周三周五 17：30</t>
  </si>
  <si>
    <t>东东</t>
  </si>
  <si>
    <t>唐瑞泽</t>
  </si>
  <si>
    <t>周六10:00</t>
  </si>
  <si>
    <t>教师提成点 校区端6-7.31月（薛老师校区）</t>
  </si>
  <si>
    <t>祝梓鑫</t>
  </si>
  <si>
    <t>倪艾丽</t>
  </si>
  <si>
    <t>帅雨辰</t>
  </si>
  <si>
    <t>关仕勋</t>
  </si>
  <si>
    <t>三年级</t>
  </si>
  <si>
    <t>阅读L2</t>
  </si>
  <si>
    <t>橙子老师</t>
  </si>
  <si>
    <t>关仕钰</t>
  </si>
  <si>
    <t>周五15:00</t>
  </si>
  <si>
    <t>郑添予</t>
  </si>
  <si>
    <t>周三11:00</t>
  </si>
  <si>
    <t>周六下午16:00</t>
  </si>
  <si>
    <t>韩天行</t>
  </si>
  <si>
    <t>周三14:00</t>
  </si>
  <si>
    <t>周五15:30</t>
  </si>
  <si>
    <t>黄令仪</t>
  </si>
  <si>
    <t>薄茗晨</t>
  </si>
  <si>
    <t>刘佳宜</t>
  </si>
  <si>
    <t>申云齐</t>
  </si>
  <si>
    <t>杨珈姚</t>
  </si>
  <si>
    <t>韩越课时费</t>
  </si>
  <si>
    <t>渠苏苏</t>
  </si>
  <si>
    <t>渠苏苏课时费</t>
  </si>
  <si>
    <t>周佳奕</t>
  </si>
  <si>
    <t>周佳奕课时费</t>
  </si>
  <si>
    <t>班级时间</t>
  </si>
  <si>
    <t>瞿茹艺</t>
  </si>
  <si>
    <t>瑞瑞老师</t>
  </si>
  <si>
    <t>周日11:00</t>
  </si>
  <si>
    <t>L1</t>
  </si>
  <si>
    <t>吴泾</t>
  </si>
  <si>
    <t>卢老师</t>
  </si>
  <si>
    <t>瞿辰忻</t>
  </si>
  <si>
    <t>李晨轩</t>
  </si>
  <si>
    <t>孟迪老师</t>
  </si>
  <si>
    <t>周一17:30</t>
  </si>
  <si>
    <t>黄沐晨</t>
  </si>
  <si>
    <t>玲子老师</t>
  </si>
  <si>
    <t>蒋浩宸</t>
  </si>
  <si>
    <t>L0</t>
  </si>
  <si>
    <t>张申泓</t>
  </si>
  <si>
    <t>陈茜</t>
  </si>
  <si>
    <t>寒假班15:30</t>
  </si>
  <si>
    <t>七宝</t>
  </si>
  <si>
    <t>Sam</t>
  </si>
  <si>
    <t>张申涵</t>
  </si>
  <si>
    <t>宾雨萱</t>
  </si>
  <si>
    <t>李芙烨</t>
  </si>
  <si>
    <t>施佳妤</t>
  </si>
  <si>
    <t>碧江</t>
  </si>
  <si>
    <t>苏老师</t>
  </si>
  <si>
    <t>徐米琪</t>
  </si>
  <si>
    <t>周六15:30</t>
  </si>
  <si>
    <t>余皙瑞</t>
  </si>
  <si>
    <t>杨月舜</t>
  </si>
  <si>
    <t>常老师</t>
  </si>
  <si>
    <t>杨月镱</t>
  </si>
  <si>
    <t>中班</t>
  </si>
  <si>
    <t>周三17:30</t>
  </si>
  <si>
    <t>蒋尚睿</t>
  </si>
  <si>
    <t>小宇老师</t>
  </si>
  <si>
    <t>蔡逸馨</t>
  </si>
  <si>
    <t>周日15:30</t>
  </si>
  <si>
    <t>朱子衿</t>
  </si>
  <si>
    <t>高佳奕</t>
  </si>
  <si>
    <t>郝浩然</t>
  </si>
  <si>
    <t>周祎辰</t>
  </si>
  <si>
    <t>东川</t>
  </si>
  <si>
    <t>王睿喆</t>
  </si>
  <si>
    <t>陆彦依</t>
  </si>
  <si>
    <t>陆孝涵</t>
  </si>
  <si>
    <t>汪旸</t>
  </si>
  <si>
    <t>刘长近</t>
  </si>
  <si>
    <t>周六11：00</t>
  </si>
  <si>
    <t>朱凯骏</t>
  </si>
  <si>
    <t>可乐</t>
  </si>
  <si>
    <t>周六9:00</t>
  </si>
  <si>
    <t>杨正道</t>
  </si>
  <si>
    <t>周六13:30</t>
  </si>
  <si>
    <t>狄思辰</t>
  </si>
  <si>
    <t>王柏也</t>
  </si>
  <si>
    <t>徐熙贤</t>
  </si>
  <si>
    <t>曾羿权</t>
  </si>
  <si>
    <t>张子麟</t>
  </si>
  <si>
    <t>周六下午15:30</t>
  </si>
  <si>
    <t>孙浩城</t>
  </si>
  <si>
    <t>周日上午9:00</t>
  </si>
  <si>
    <t>潜宥实</t>
  </si>
  <si>
    <t>陈梓安</t>
  </si>
  <si>
    <t>陈沛莹</t>
  </si>
  <si>
    <t>景泊深</t>
  </si>
  <si>
    <t>陈莹</t>
  </si>
  <si>
    <t>吴艺霏</t>
  </si>
  <si>
    <t>刘铠睿</t>
  </si>
  <si>
    <t>许晨</t>
  </si>
  <si>
    <t>李禹熠</t>
  </si>
  <si>
    <t>张议允</t>
  </si>
  <si>
    <t>彭婉卿</t>
  </si>
  <si>
    <t>唐果</t>
  </si>
  <si>
    <t>周一15:00/周三14:30</t>
  </si>
  <si>
    <t>程一芃</t>
  </si>
  <si>
    <t>徐隽豪</t>
  </si>
  <si>
    <t>张晏宁</t>
  </si>
  <si>
    <t>周四18:30</t>
  </si>
  <si>
    <t>李老师</t>
  </si>
  <si>
    <t>林雯萱</t>
  </si>
  <si>
    <t>张婉仪</t>
  </si>
  <si>
    <t>家长转介绍(l李老师）</t>
  </si>
  <si>
    <t>蒋思辰</t>
  </si>
  <si>
    <t>吴梓轩</t>
  </si>
  <si>
    <t>郭菁</t>
  </si>
  <si>
    <t>周三下午15:30/周五上午10:30</t>
  </si>
  <si>
    <t>沈馨</t>
  </si>
  <si>
    <t>陆汐羽</t>
  </si>
  <si>
    <t>徐泽安</t>
  </si>
  <si>
    <t>宛若老师</t>
  </si>
  <si>
    <t>金唐宣</t>
  </si>
  <si>
    <t>陈一琳</t>
  </si>
  <si>
    <t>丁暮元</t>
  </si>
  <si>
    <t>梦梦老师</t>
  </si>
  <si>
    <t>李思墨</t>
  </si>
  <si>
    <t>黄梓轩</t>
  </si>
  <si>
    <t>董嘉懿</t>
  </si>
  <si>
    <t>黄传恩</t>
  </si>
  <si>
    <t>周五16:30</t>
  </si>
  <si>
    <t>陆宥米</t>
  </si>
  <si>
    <t>苏涂婧</t>
  </si>
  <si>
    <t>王子轩</t>
  </si>
  <si>
    <t>金妙竹</t>
  </si>
  <si>
    <t>王艺淇</t>
  </si>
  <si>
    <t>陆昭均</t>
  </si>
  <si>
    <t>黄传恩推荐</t>
  </si>
  <si>
    <t>叶可歆</t>
  </si>
  <si>
    <t>张婉仪推荐</t>
  </si>
  <si>
    <t>戚秦鸣</t>
  </si>
  <si>
    <t>市场渠道</t>
  </si>
  <si>
    <t>方梓宸</t>
  </si>
  <si>
    <t>李佳穆</t>
  </si>
  <si>
    <t>姚沛琪</t>
  </si>
  <si>
    <t>周日13:30</t>
  </si>
  <si>
    <t>陈峻松</t>
  </si>
  <si>
    <t>胡艺婷</t>
  </si>
  <si>
    <t>蔡嘉轩</t>
  </si>
  <si>
    <t>胡艺婷推荐</t>
  </si>
  <si>
    <t>于越</t>
  </si>
  <si>
    <t>朱宸言</t>
  </si>
  <si>
    <t>楠楠老师</t>
  </si>
  <si>
    <t>周一16:15</t>
  </si>
  <si>
    <t>刘彦歆</t>
  </si>
  <si>
    <t>吴梓轩推荐</t>
  </si>
  <si>
    <t>陆子洲</t>
  </si>
  <si>
    <t>刘彦歆推荐</t>
  </si>
  <si>
    <t>张珺怡</t>
  </si>
  <si>
    <t>周一15:00</t>
  </si>
  <si>
    <t>朱训麟</t>
  </si>
  <si>
    <t>明年上课</t>
  </si>
  <si>
    <t>王伟泽</t>
  </si>
  <si>
    <t>四年级</t>
  </si>
  <si>
    <t>周日15:10</t>
  </si>
  <si>
    <t>L2</t>
  </si>
  <si>
    <t>董彦博</t>
  </si>
  <si>
    <t>王伟泽推荐</t>
  </si>
  <si>
    <t>陈怡洁</t>
  </si>
  <si>
    <t>胡翌洋</t>
  </si>
  <si>
    <t>杨轩宇</t>
  </si>
  <si>
    <t>俞老师</t>
  </si>
  <si>
    <t>朱墨辰</t>
  </si>
  <si>
    <t>王云诩</t>
  </si>
  <si>
    <t>袁欣沂</t>
  </si>
  <si>
    <t>张津硕</t>
  </si>
  <si>
    <t>徐安然</t>
  </si>
  <si>
    <t>陈宇毅</t>
  </si>
  <si>
    <t>陈思源</t>
  </si>
  <si>
    <t>胡潇艺</t>
  </si>
  <si>
    <t>徐宥麟</t>
  </si>
  <si>
    <t>玲子老师（胡翌洋推荐）</t>
  </si>
  <si>
    <t>黄一恒</t>
  </si>
  <si>
    <t>张老师（胡翌洋推荐）</t>
  </si>
  <si>
    <t>钱承乐</t>
  </si>
  <si>
    <t>钱佳里</t>
  </si>
  <si>
    <t>张老师</t>
  </si>
  <si>
    <t>曹海平</t>
  </si>
  <si>
    <t>幺文策</t>
  </si>
  <si>
    <t>周智恒</t>
  </si>
  <si>
    <t>周诗涵</t>
  </si>
  <si>
    <t>徐老师（徐宥麟推荐）</t>
  </si>
  <si>
    <t>朱子木</t>
  </si>
  <si>
    <t>刘宇航</t>
  </si>
  <si>
    <t>吴晓馨</t>
  </si>
  <si>
    <t>周语彤</t>
  </si>
  <si>
    <t>拼音老生</t>
  </si>
  <si>
    <t>周三11:00/周四11:00</t>
  </si>
  <si>
    <t>拼音转阅读</t>
  </si>
  <si>
    <t>杨皓辰</t>
  </si>
  <si>
    <t>待定</t>
  </si>
  <si>
    <t>徐昀浠</t>
  </si>
  <si>
    <t>朱伯谦</t>
  </si>
  <si>
    <t>郑思源</t>
  </si>
  <si>
    <t>吴若溪</t>
  </si>
  <si>
    <t>周三9:30/周五8:50</t>
  </si>
  <si>
    <t>沈一然</t>
  </si>
  <si>
    <t>阅读L0（暑假班）</t>
  </si>
  <si>
    <t>拼音（暑假班）</t>
  </si>
  <si>
    <t>王紫玥</t>
  </si>
  <si>
    <t>陆昭君推荐</t>
  </si>
  <si>
    <t>姚诺桐</t>
  </si>
  <si>
    <t>金屹涵</t>
  </si>
  <si>
    <t>何译欣</t>
  </si>
  <si>
    <t>徐翊轩</t>
  </si>
  <si>
    <t>下半年上课</t>
  </si>
  <si>
    <t>孙睿</t>
  </si>
  <si>
    <t>周彦涵</t>
  </si>
  <si>
    <t>王婧文</t>
  </si>
  <si>
    <t>周五15:30秋季</t>
  </si>
  <si>
    <t>许弘予</t>
  </si>
  <si>
    <t>杜杜老师</t>
  </si>
  <si>
    <t>周三，周四，周五13:30</t>
  </si>
  <si>
    <t>叶涵宇</t>
  </si>
  <si>
    <t>陈锐彦</t>
  </si>
  <si>
    <t>玲子老师&amp;卢老师</t>
  </si>
  <si>
    <t>于林泽</t>
  </si>
  <si>
    <t>乐浩宇</t>
  </si>
  <si>
    <t>胡语承</t>
  </si>
  <si>
    <t>宸宸</t>
  </si>
  <si>
    <t>王音淇</t>
  </si>
  <si>
    <t>周三，周六15:00</t>
  </si>
  <si>
    <t>陈铭杰</t>
  </si>
  <si>
    <t>大众点评</t>
  </si>
  <si>
    <t>万小达</t>
  </si>
  <si>
    <t>陈铭杰 家长推荐</t>
  </si>
  <si>
    <t>陈怡琳</t>
  </si>
  <si>
    <t>市场流量</t>
  </si>
  <si>
    <t>毕胜皓</t>
  </si>
  <si>
    <t>李依依</t>
  </si>
  <si>
    <t>史鸿雁</t>
  </si>
  <si>
    <t>曹亦宸</t>
  </si>
  <si>
    <t>周一10:30</t>
  </si>
  <si>
    <t>吴诗昊</t>
  </si>
  <si>
    <t>周日9：00</t>
  </si>
  <si>
    <t>沈一然妈妈推荐</t>
  </si>
  <si>
    <t>叶爽</t>
  </si>
  <si>
    <t>朱佑宁</t>
  </si>
  <si>
    <t>9月之后定</t>
  </si>
  <si>
    <t>小倩老师</t>
  </si>
  <si>
    <t>茅雨阳</t>
  </si>
  <si>
    <t>章一馨</t>
  </si>
  <si>
    <t>周六13:30；周一10:00；周三16:45</t>
  </si>
  <si>
    <t>张安然</t>
  </si>
  <si>
    <t>杨雨萱</t>
  </si>
  <si>
    <t>周三9：30/周五8：50</t>
  </si>
  <si>
    <t>王思贤</t>
  </si>
  <si>
    <t>王馨晨</t>
  </si>
  <si>
    <t>陈安道</t>
  </si>
  <si>
    <t>富雪玲</t>
  </si>
  <si>
    <t>周六13:15</t>
  </si>
  <si>
    <t>拼音转化阅读</t>
  </si>
  <si>
    <t>朱艺馨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</si>
</sst>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5"/>
      <name val="宋体"/>
      <charset val="134"/>
      <scheme val="minor"/>
    </font>
    <font>
      <sz val="12"/>
      <color theme="1"/>
      <name val="DengXian"/>
      <charset val="134"/>
    </font>
    <font>
      <sz val="12"/>
      <color rgb="FFFF0000"/>
      <name val="DengXian"/>
      <charset val="134"/>
    </font>
    <font>
      <sz val="12"/>
      <color theme="5"/>
      <name val="DengXian"/>
      <charset val="134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EBFE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5" fillId="36" borderId="14" applyNumberForma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4" fillId="16" borderId="1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7" fillId="37" borderId="15" applyNumberFormat="0" applyAlignment="0" applyProtection="0">
      <alignment vertical="center"/>
    </xf>
    <xf numFmtId="0" fontId="17" fillId="16" borderId="11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30" borderId="13" applyNumberFormat="0" applyFon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4" borderId="0" xfId="0" applyFont="1" applyFill="1" applyAlignment="1"/>
    <xf numFmtId="0" fontId="2" fillId="0" borderId="0" xfId="0" applyFont="1" applyFill="1" applyAlignment="1"/>
    <xf numFmtId="0" fontId="7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4" borderId="2" xfId="0" applyFont="1" applyFill="1" applyBorder="1" applyAlignment="1"/>
    <xf numFmtId="0" fontId="2" fillId="5" borderId="2" xfId="0" applyFont="1" applyFill="1" applyBorder="1" applyAlignment="1"/>
    <xf numFmtId="0" fontId="2" fillId="0" borderId="2" xfId="0" applyFont="1" applyFill="1" applyBorder="1" applyAlignment="1"/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58" fontId="2" fillId="0" borderId="2" xfId="0" applyNumberFormat="1" applyFont="1" applyFill="1" applyBorder="1" applyAlignment="1"/>
    <xf numFmtId="58" fontId="2" fillId="4" borderId="2" xfId="0" applyNumberFormat="1" applyFont="1" applyFill="1" applyBorder="1" applyAlignment="1"/>
    <xf numFmtId="58" fontId="2" fillId="5" borderId="2" xfId="0" applyNumberFormat="1" applyFont="1" applyFill="1" applyBorder="1" applyAlignment="1"/>
    <xf numFmtId="9" fontId="2" fillId="0" borderId="2" xfId="0" applyNumberFormat="1" applyFont="1" applyFill="1" applyBorder="1" applyAlignment="1"/>
    <xf numFmtId="9" fontId="2" fillId="4" borderId="2" xfId="0" applyNumberFormat="1" applyFont="1" applyFill="1" applyBorder="1" applyAlignment="1"/>
    <xf numFmtId="9" fontId="2" fillId="5" borderId="2" xfId="0" applyNumberFormat="1" applyFont="1" applyFill="1" applyBorder="1" applyAlignment="1"/>
    <xf numFmtId="0" fontId="2" fillId="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/>
    <xf numFmtId="0" fontId="2" fillId="5" borderId="2" xfId="0" applyFont="1" applyFill="1" applyBorder="1" applyAlignment="1"/>
    <xf numFmtId="0" fontId="8" fillId="6" borderId="2" xfId="0" applyFont="1" applyFill="1" applyBorder="1" applyAlignment="1">
      <alignment horizontal="center"/>
    </xf>
    <xf numFmtId="0" fontId="0" fillId="7" borderId="2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topLeftCell="A12" workbookViewId="0">
      <selection activeCell="K37" sqref="K37"/>
    </sheetView>
  </sheetViews>
  <sheetFormatPr defaultColWidth="10.4615384615385" defaultRowHeight="17.6"/>
  <cols>
    <col min="1" max="1" width="5.38461538461539" style="47" customWidth="1"/>
    <col min="2" max="2" width="6.30769230769231" style="47" customWidth="1"/>
    <col min="3" max="5" width="8.61538461538461" style="47" customWidth="1"/>
    <col min="6" max="6" width="10.9230769230769" style="47" customWidth="1"/>
    <col min="7" max="7" width="19.2307692307692" style="47" customWidth="1"/>
    <col min="8" max="8" width="8.61538461538461" style="47" customWidth="1"/>
    <col min="9" max="9" width="6.30769230769231" style="47" customWidth="1"/>
    <col min="10" max="13" width="10.9230769230769" style="47" customWidth="1"/>
    <col min="14" max="14" width="8.61538461538461" style="47" customWidth="1"/>
    <col min="15" max="15" width="10.9230769230769" style="47" customWidth="1"/>
    <col min="16" max="16" width="16" style="47" customWidth="1"/>
    <col min="17" max="17" width="11.3557692307692" style="47" hidden="1" customWidth="1"/>
    <col min="18" max="18" width="10.9230769230769" style="47" customWidth="1"/>
    <col min="19" max="19" width="14.6153846153846" style="47" customWidth="1"/>
    <col min="20" max="20" width="20.3076923076923" style="47" customWidth="1"/>
    <col min="21" max="21" width="18.2692307692308" style="47" customWidth="1"/>
    <col min="22" max="22" width="10.3076923076923" style="47" customWidth="1"/>
    <col min="23" max="23" width="19.7692307692308" style="47" customWidth="1"/>
    <col min="24" max="24" width="8.15384615384615" style="47" customWidth="1"/>
    <col min="25" max="25" width="25.6923076923077" style="47" customWidth="1"/>
    <col min="26" max="26" width="18.5384615384615" style="47" customWidth="1"/>
    <col min="27" max="27" width="25.6923076923077" style="47" customWidth="1"/>
    <col min="28" max="28" width="25.6923076923077" style="46" customWidth="1"/>
    <col min="29" max="30" width="11.1538461538462" style="47" customWidth="1"/>
    <col min="31" max="31" width="10.4615384615385" style="47"/>
    <col min="32" max="32" width="13.2692307692308" style="47" customWidth="1"/>
    <col min="33" max="33" width="10.4615384615385" style="47"/>
    <col min="34" max="34" width="13.2692307692308" style="47" customWidth="1"/>
    <col min="35" max="16384" width="10.4615384615385" style="47"/>
  </cols>
  <sheetData>
    <row r="1" ht="23.2" spans="1:27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67" t="s">
        <v>1</v>
      </c>
      <c r="V1" s="67"/>
      <c r="W1" s="67"/>
      <c r="X1" s="67"/>
      <c r="Y1" s="67"/>
      <c r="Z1" s="67"/>
      <c r="AA1" s="67"/>
    </row>
    <row r="2" s="45" customFormat="1" ht="18" spans="1:27">
      <c r="A2" s="49" t="s">
        <v>2</v>
      </c>
      <c r="B2" s="49" t="s">
        <v>3</v>
      </c>
      <c r="C2" s="49" t="s">
        <v>4</v>
      </c>
      <c r="D2" s="49" t="s">
        <v>5</v>
      </c>
      <c r="E2" s="49" t="s">
        <v>6</v>
      </c>
      <c r="F2" s="49" t="s">
        <v>7</v>
      </c>
      <c r="G2" s="49" t="s">
        <v>8</v>
      </c>
      <c r="H2" s="49" t="s">
        <v>9</v>
      </c>
      <c r="I2" s="49" t="s">
        <v>10</v>
      </c>
      <c r="J2" s="49" t="s">
        <v>11</v>
      </c>
      <c r="K2" s="49" t="s">
        <v>12</v>
      </c>
      <c r="L2" s="56" t="s">
        <v>13</v>
      </c>
      <c r="M2" s="56" t="s">
        <v>14</v>
      </c>
      <c r="N2" s="49" t="s">
        <v>15</v>
      </c>
      <c r="O2" s="49" t="s">
        <v>16</v>
      </c>
      <c r="P2" s="49" t="s">
        <v>17</v>
      </c>
      <c r="Q2" s="49" t="s">
        <v>18</v>
      </c>
      <c r="R2" s="49" t="s">
        <v>19</v>
      </c>
      <c r="S2" s="49" t="s">
        <v>20</v>
      </c>
      <c r="T2" s="63" t="s">
        <v>21</v>
      </c>
      <c r="U2" s="68"/>
      <c r="V2" s="68" t="s">
        <v>22</v>
      </c>
      <c r="W2" s="68" t="s">
        <v>23</v>
      </c>
      <c r="X2" s="68" t="s">
        <v>24</v>
      </c>
      <c r="Y2" s="68" t="s">
        <v>25</v>
      </c>
      <c r="Z2" s="68" t="s">
        <v>26</v>
      </c>
      <c r="AA2" s="68" t="s">
        <v>27</v>
      </c>
    </row>
    <row r="3" ht="36" spans="1:27">
      <c r="A3" s="50">
        <v>1</v>
      </c>
      <c r="B3" s="50">
        <v>1</v>
      </c>
      <c r="C3" s="50" t="s">
        <v>28</v>
      </c>
      <c r="D3" s="50" t="s">
        <v>29</v>
      </c>
      <c r="E3" s="50" t="s">
        <v>30</v>
      </c>
      <c r="F3" s="53" t="s">
        <v>31</v>
      </c>
      <c r="G3" s="50" t="s">
        <v>32</v>
      </c>
      <c r="H3" s="50" t="s">
        <v>33</v>
      </c>
      <c r="I3" s="50" t="s">
        <v>34</v>
      </c>
      <c r="J3" s="50" t="s">
        <v>35</v>
      </c>
      <c r="K3" s="57">
        <v>45093</v>
      </c>
      <c r="L3" s="50">
        <v>18</v>
      </c>
      <c r="M3" s="50">
        <v>0</v>
      </c>
      <c r="N3" s="50">
        <v>1580</v>
      </c>
      <c r="O3" s="60">
        <v>0.1</v>
      </c>
      <c r="P3" s="50">
        <f t="shared" ref="P3:P33" si="0">O3*N3</f>
        <v>158</v>
      </c>
      <c r="Q3" s="50">
        <f t="shared" ref="Q3:Q33" si="1">N3*O3</f>
        <v>158</v>
      </c>
      <c r="R3" s="53">
        <v>0</v>
      </c>
      <c r="S3" s="50">
        <v>13817006232</v>
      </c>
      <c r="T3" s="54" t="s">
        <v>36</v>
      </c>
      <c r="U3" s="69" t="s">
        <v>34</v>
      </c>
      <c r="V3" s="69">
        <v>0</v>
      </c>
      <c r="W3" s="69">
        <v>8</v>
      </c>
      <c r="X3" s="69">
        <v>22264</v>
      </c>
      <c r="Y3" s="69">
        <f>X3*10%</f>
        <v>2226.4</v>
      </c>
      <c r="Z3" s="69">
        <f>Y3*33.33%</f>
        <v>742.05912</v>
      </c>
      <c r="AA3" s="69">
        <f>Y3*66.66%</f>
        <v>1484.11824</v>
      </c>
    </row>
    <row r="4" ht="36" spans="1:27">
      <c r="A4" s="50">
        <v>2</v>
      </c>
      <c r="B4" s="50">
        <v>1</v>
      </c>
      <c r="C4" s="50" t="s">
        <v>37</v>
      </c>
      <c r="D4" s="50" t="s">
        <v>29</v>
      </c>
      <c r="E4" s="50" t="s">
        <v>30</v>
      </c>
      <c r="F4" s="53" t="s">
        <v>31</v>
      </c>
      <c r="G4" s="50" t="s">
        <v>32</v>
      </c>
      <c r="H4" s="50" t="s">
        <v>33</v>
      </c>
      <c r="I4" s="50" t="s">
        <v>34</v>
      </c>
      <c r="J4" s="50" t="s">
        <v>35</v>
      </c>
      <c r="K4" s="57">
        <v>45089</v>
      </c>
      <c r="L4" s="50">
        <v>18</v>
      </c>
      <c r="M4" s="50">
        <v>0</v>
      </c>
      <c r="N4" s="50">
        <v>1580</v>
      </c>
      <c r="O4" s="60">
        <v>0.1</v>
      </c>
      <c r="P4" s="50">
        <f t="shared" si="0"/>
        <v>158</v>
      </c>
      <c r="Q4" s="50">
        <f t="shared" si="1"/>
        <v>158</v>
      </c>
      <c r="R4" s="53">
        <v>0</v>
      </c>
      <c r="S4" s="50">
        <v>13761602216</v>
      </c>
      <c r="T4" s="54" t="s">
        <v>36</v>
      </c>
      <c r="U4" s="68"/>
      <c r="V4" s="68" t="s">
        <v>22</v>
      </c>
      <c r="W4" s="68" t="s">
        <v>23</v>
      </c>
      <c r="X4" s="68" t="s">
        <v>24</v>
      </c>
      <c r="Y4" s="68" t="s">
        <v>25</v>
      </c>
      <c r="Z4" s="68" t="s">
        <v>38</v>
      </c>
      <c r="AA4" s="68" t="s">
        <v>39</v>
      </c>
    </row>
    <row r="5" ht="36" spans="1:27">
      <c r="A5" s="50">
        <v>3</v>
      </c>
      <c r="B5" s="50">
        <v>1</v>
      </c>
      <c r="C5" s="50" t="s">
        <v>40</v>
      </c>
      <c r="D5" s="50" t="s">
        <v>29</v>
      </c>
      <c r="E5" s="50" t="s">
        <v>30</v>
      </c>
      <c r="F5" s="53" t="s">
        <v>31</v>
      </c>
      <c r="G5" s="50" t="s">
        <v>32</v>
      </c>
      <c r="H5" s="50" t="s">
        <v>33</v>
      </c>
      <c r="I5" s="50" t="s">
        <v>34</v>
      </c>
      <c r="J5" s="50" t="s">
        <v>35</v>
      </c>
      <c r="K5" s="57">
        <v>45090</v>
      </c>
      <c r="L5" s="50">
        <v>18</v>
      </c>
      <c r="M5" s="50">
        <v>0</v>
      </c>
      <c r="N5" s="50">
        <v>1580</v>
      </c>
      <c r="O5" s="60">
        <v>0.1</v>
      </c>
      <c r="P5" s="50">
        <f t="shared" si="0"/>
        <v>158</v>
      </c>
      <c r="Q5" s="50">
        <f t="shared" si="1"/>
        <v>158</v>
      </c>
      <c r="R5" s="53">
        <v>0</v>
      </c>
      <c r="S5" s="50">
        <v>13801764345</v>
      </c>
      <c r="T5" s="54" t="s">
        <v>36</v>
      </c>
      <c r="U5" s="69" t="s">
        <v>41</v>
      </c>
      <c r="V5" s="69">
        <v>0</v>
      </c>
      <c r="W5" s="69">
        <v>1</v>
      </c>
      <c r="X5" s="69">
        <v>3800</v>
      </c>
      <c r="Y5" s="69">
        <f>X5*10%</f>
        <v>380</v>
      </c>
      <c r="Z5" s="69">
        <f>Y5*33.33%</f>
        <v>126.654</v>
      </c>
      <c r="AA5" s="69">
        <f>Y5*66.66%</f>
        <v>253.308</v>
      </c>
    </row>
    <row r="6" ht="36" spans="1:27">
      <c r="A6" s="50">
        <v>4</v>
      </c>
      <c r="B6" s="50">
        <v>1</v>
      </c>
      <c r="C6" s="50" t="s">
        <v>42</v>
      </c>
      <c r="D6" s="50" t="s">
        <v>29</v>
      </c>
      <c r="E6" s="50" t="s">
        <v>30</v>
      </c>
      <c r="F6" s="53" t="s">
        <v>31</v>
      </c>
      <c r="G6" s="50" t="s">
        <v>32</v>
      </c>
      <c r="H6" s="50" t="s">
        <v>33</v>
      </c>
      <c r="I6" s="50" t="s">
        <v>34</v>
      </c>
      <c r="J6" s="50" t="s">
        <v>35</v>
      </c>
      <c r="K6" s="57">
        <v>45090</v>
      </c>
      <c r="L6" s="50">
        <v>18</v>
      </c>
      <c r="M6" s="50">
        <v>0</v>
      </c>
      <c r="N6" s="50">
        <v>1580</v>
      </c>
      <c r="O6" s="60">
        <v>0.1</v>
      </c>
      <c r="P6" s="50">
        <f t="shared" si="0"/>
        <v>158</v>
      </c>
      <c r="Q6" s="50">
        <f t="shared" si="1"/>
        <v>158</v>
      </c>
      <c r="R6" s="53">
        <v>0</v>
      </c>
      <c r="S6" s="50">
        <v>18521513822</v>
      </c>
      <c r="T6" s="54" t="s">
        <v>36</v>
      </c>
      <c r="U6" s="70" t="s">
        <v>43</v>
      </c>
      <c r="V6" s="71">
        <v>0</v>
      </c>
      <c r="W6" s="71">
        <v>9</v>
      </c>
      <c r="X6" s="71">
        <f t="shared" ref="X6:AA6" si="2">X3+X5</f>
        <v>26064</v>
      </c>
      <c r="Y6" s="71">
        <f t="shared" si="2"/>
        <v>2606.4</v>
      </c>
      <c r="Z6" s="71">
        <f t="shared" si="2"/>
        <v>868.71312</v>
      </c>
      <c r="AA6" s="71">
        <f t="shared" si="2"/>
        <v>1737.42624</v>
      </c>
    </row>
    <row r="7" spans="1:27">
      <c r="A7" s="50">
        <v>5</v>
      </c>
      <c r="B7" s="50">
        <v>1</v>
      </c>
      <c r="C7" s="50" t="s">
        <v>44</v>
      </c>
      <c r="D7" s="50" t="s">
        <v>29</v>
      </c>
      <c r="E7" s="50" t="s">
        <v>30</v>
      </c>
      <c r="F7" s="53" t="s">
        <v>31</v>
      </c>
      <c r="G7" s="50" t="s">
        <v>32</v>
      </c>
      <c r="H7" s="50" t="s">
        <v>33</v>
      </c>
      <c r="I7" s="50" t="s">
        <v>45</v>
      </c>
      <c r="J7" s="50" t="s">
        <v>46</v>
      </c>
      <c r="K7" s="57">
        <v>45096</v>
      </c>
      <c r="L7" s="50">
        <v>18</v>
      </c>
      <c r="M7" s="50">
        <v>0</v>
      </c>
      <c r="N7" s="50">
        <v>1580</v>
      </c>
      <c r="O7" s="60">
        <v>0.1</v>
      </c>
      <c r="P7" s="50">
        <f t="shared" si="0"/>
        <v>158</v>
      </c>
      <c r="Q7" s="50">
        <f t="shared" si="1"/>
        <v>158</v>
      </c>
      <c r="R7" s="53">
        <v>0</v>
      </c>
      <c r="S7" s="50">
        <v>13606519222</v>
      </c>
      <c r="T7" s="64" t="s">
        <v>47</v>
      </c>
      <c r="U7" s="72" t="s">
        <v>48</v>
      </c>
      <c r="V7" s="72">
        <v>0</v>
      </c>
      <c r="W7" s="72">
        <v>9</v>
      </c>
      <c r="X7" s="72">
        <f>X3+X5</f>
        <v>26064</v>
      </c>
      <c r="Y7" s="72">
        <f>+Y3+Y5</f>
        <v>2606.4</v>
      </c>
      <c r="Z7" s="72" t="s">
        <v>32</v>
      </c>
      <c r="AA7" s="72" t="s">
        <v>32</v>
      </c>
    </row>
    <row r="8" s="46" customFormat="1" spans="1:27">
      <c r="A8" s="51">
        <v>6</v>
      </c>
      <c r="B8" s="51">
        <v>1</v>
      </c>
      <c r="C8" s="51" t="s">
        <v>49</v>
      </c>
      <c r="D8" s="51" t="s">
        <v>29</v>
      </c>
      <c r="E8" s="51" t="s">
        <v>30</v>
      </c>
      <c r="F8" s="51" t="s">
        <v>31</v>
      </c>
      <c r="G8" s="51" t="s">
        <v>32</v>
      </c>
      <c r="H8" s="51" t="s">
        <v>33</v>
      </c>
      <c r="I8" s="51" t="s">
        <v>34</v>
      </c>
      <c r="J8" s="51" t="s">
        <v>35</v>
      </c>
      <c r="K8" s="58">
        <v>45110</v>
      </c>
      <c r="L8" s="51">
        <v>18</v>
      </c>
      <c r="M8" s="51">
        <v>0</v>
      </c>
      <c r="N8" s="51">
        <v>1580</v>
      </c>
      <c r="O8" s="61">
        <v>0.1</v>
      </c>
      <c r="P8" s="51">
        <f t="shared" si="0"/>
        <v>158</v>
      </c>
      <c r="Q8" s="51">
        <f t="shared" si="1"/>
        <v>158</v>
      </c>
      <c r="R8" s="65">
        <v>0</v>
      </c>
      <c r="S8" s="65">
        <v>18918218586</v>
      </c>
      <c r="T8" s="65" t="s">
        <v>36</v>
      </c>
      <c r="U8" s="67" t="s">
        <v>50</v>
      </c>
      <c r="V8" s="67"/>
      <c r="W8" s="67"/>
      <c r="X8" s="67"/>
      <c r="Y8" s="67"/>
      <c r="Z8" s="67"/>
      <c r="AA8" s="67"/>
    </row>
    <row r="9" s="46" customFormat="1" ht="18" spans="1:27">
      <c r="A9" s="51">
        <v>7</v>
      </c>
      <c r="B9" s="51">
        <v>1</v>
      </c>
      <c r="C9" s="51" t="s">
        <v>51</v>
      </c>
      <c r="D9" s="51" t="s">
        <v>29</v>
      </c>
      <c r="E9" s="51" t="s">
        <v>30</v>
      </c>
      <c r="F9" s="51" t="s">
        <v>31</v>
      </c>
      <c r="G9" s="54" t="s">
        <v>52</v>
      </c>
      <c r="H9" s="51" t="s">
        <v>53</v>
      </c>
      <c r="I9" s="51" t="s">
        <v>34</v>
      </c>
      <c r="J9" s="51" t="s">
        <v>35</v>
      </c>
      <c r="K9" s="58">
        <v>45122</v>
      </c>
      <c r="L9" s="51">
        <v>25</v>
      </c>
      <c r="M9" s="51">
        <v>2</v>
      </c>
      <c r="N9" s="51">
        <v>3682</v>
      </c>
      <c r="O9" s="61">
        <v>0.1</v>
      </c>
      <c r="P9" s="51">
        <f t="shared" si="0"/>
        <v>368.2</v>
      </c>
      <c r="Q9" s="51">
        <f t="shared" si="1"/>
        <v>368.2</v>
      </c>
      <c r="R9" s="65">
        <v>125</v>
      </c>
      <c r="S9" s="65">
        <v>13916875270</v>
      </c>
      <c r="T9" s="65" t="s">
        <v>52</v>
      </c>
      <c r="U9" s="68"/>
      <c r="V9" s="68" t="s">
        <v>22</v>
      </c>
      <c r="W9" s="68" t="s">
        <v>23</v>
      </c>
      <c r="X9" s="68" t="s">
        <v>24</v>
      </c>
      <c r="Y9" s="68" t="s">
        <v>25</v>
      </c>
      <c r="Z9" s="68" t="s">
        <v>54</v>
      </c>
      <c r="AA9" s="68" t="s">
        <v>55</v>
      </c>
    </row>
    <row r="10" s="46" customFormat="1" ht="18" spans="1:27">
      <c r="A10" s="51">
        <v>8</v>
      </c>
      <c r="B10" s="51">
        <v>1</v>
      </c>
      <c r="C10" s="51" t="s">
        <v>56</v>
      </c>
      <c r="D10" s="51" t="s">
        <v>29</v>
      </c>
      <c r="E10" s="51" t="s">
        <v>57</v>
      </c>
      <c r="F10" s="51" t="s">
        <v>58</v>
      </c>
      <c r="G10" s="54" t="s">
        <v>59</v>
      </c>
      <c r="H10" s="51" t="s">
        <v>60</v>
      </c>
      <c r="I10" s="51" t="s">
        <v>34</v>
      </c>
      <c r="J10" s="51" t="s">
        <v>35</v>
      </c>
      <c r="K10" s="58">
        <v>45122</v>
      </c>
      <c r="L10" s="51">
        <v>25</v>
      </c>
      <c r="M10" s="51">
        <v>2</v>
      </c>
      <c r="N10" s="51">
        <v>3682</v>
      </c>
      <c r="O10" s="61">
        <v>0.1</v>
      </c>
      <c r="P10" s="51">
        <f t="shared" si="0"/>
        <v>368.2</v>
      </c>
      <c r="Q10" s="51">
        <f t="shared" si="1"/>
        <v>368.2</v>
      </c>
      <c r="R10" s="65">
        <v>125</v>
      </c>
      <c r="S10" s="65">
        <v>13916875270</v>
      </c>
      <c r="T10" s="65" t="s">
        <v>59</v>
      </c>
      <c r="U10" s="69" t="s">
        <v>45</v>
      </c>
      <c r="V10" s="69">
        <v>0</v>
      </c>
      <c r="W10" s="69">
        <v>3</v>
      </c>
      <c r="X10" s="69">
        <v>6722</v>
      </c>
      <c r="Y10" s="69">
        <f t="shared" ref="Y10:Y14" si="3">X10*10%</f>
        <v>672.2</v>
      </c>
      <c r="Z10" s="69">
        <f t="shared" ref="Z10:Z14" si="4">Y10*33.33%</f>
        <v>224.04426</v>
      </c>
      <c r="AA10" s="69">
        <f t="shared" ref="AA10:AA14" si="5">Y10*66.66%</f>
        <v>448.08852</v>
      </c>
    </row>
    <row r="11" s="46" customFormat="1" ht="18" spans="1:35">
      <c r="A11" s="51">
        <v>9</v>
      </c>
      <c r="B11" s="51">
        <v>1</v>
      </c>
      <c r="C11" s="51" t="s">
        <v>61</v>
      </c>
      <c r="D11" s="51" t="s">
        <v>29</v>
      </c>
      <c r="E11" s="51" t="s">
        <v>30</v>
      </c>
      <c r="F11" s="51" t="s">
        <v>62</v>
      </c>
      <c r="G11" s="54" t="s">
        <v>63</v>
      </c>
      <c r="H11" s="51" t="s">
        <v>53</v>
      </c>
      <c r="I11" s="51" t="s">
        <v>45</v>
      </c>
      <c r="J11" s="51" t="s">
        <v>46</v>
      </c>
      <c r="K11" s="58">
        <v>45122</v>
      </c>
      <c r="L11" s="51">
        <v>25</v>
      </c>
      <c r="M11" s="51">
        <v>0</v>
      </c>
      <c r="N11" s="51">
        <v>3562</v>
      </c>
      <c r="O11" s="61">
        <v>0.1</v>
      </c>
      <c r="P11" s="51">
        <f t="shared" si="0"/>
        <v>356.2</v>
      </c>
      <c r="Q11" s="51">
        <f t="shared" si="1"/>
        <v>356.2</v>
      </c>
      <c r="R11" s="65">
        <v>125</v>
      </c>
      <c r="S11" s="65"/>
      <c r="T11" s="65" t="s">
        <v>63</v>
      </c>
      <c r="U11" s="68"/>
      <c r="V11" s="68" t="s">
        <v>22</v>
      </c>
      <c r="W11" s="68" t="s">
        <v>23</v>
      </c>
      <c r="X11" s="68" t="s">
        <v>24</v>
      </c>
      <c r="Y11" s="68" t="s">
        <v>25</v>
      </c>
      <c r="Z11" s="68" t="s">
        <v>64</v>
      </c>
      <c r="AA11" s="68" t="s">
        <v>65</v>
      </c>
      <c r="AC11" s="47"/>
      <c r="AD11" s="47"/>
      <c r="AE11" s="47"/>
      <c r="AF11" s="47"/>
      <c r="AG11" s="47"/>
      <c r="AH11" s="47"/>
      <c r="AI11" s="47"/>
    </row>
    <row r="12" s="46" customFormat="1" ht="18" spans="1:35">
      <c r="A12" s="51">
        <v>10</v>
      </c>
      <c r="B12" s="51">
        <v>1</v>
      </c>
      <c r="C12" s="51" t="s">
        <v>40</v>
      </c>
      <c r="D12" s="51" t="s">
        <v>29</v>
      </c>
      <c r="E12" s="51" t="s">
        <v>30</v>
      </c>
      <c r="F12" s="51" t="s">
        <v>31</v>
      </c>
      <c r="G12" s="54" t="s">
        <v>52</v>
      </c>
      <c r="H12" s="51" t="s">
        <v>53</v>
      </c>
      <c r="I12" s="51" t="s">
        <v>34</v>
      </c>
      <c r="J12" s="51" t="s">
        <v>35</v>
      </c>
      <c r="K12" s="58">
        <v>45126</v>
      </c>
      <c r="L12" s="51">
        <v>50</v>
      </c>
      <c r="M12" s="51">
        <v>4</v>
      </c>
      <c r="N12" s="51">
        <v>7000</v>
      </c>
      <c r="O12" s="61">
        <v>0.1</v>
      </c>
      <c r="P12" s="51">
        <f t="shared" si="0"/>
        <v>700</v>
      </c>
      <c r="Q12" s="51">
        <f t="shared" si="1"/>
        <v>700</v>
      </c>
      <c r="R12" s="65">
        <v>200</v>
      </c>
      <c r="S12" s="65">
        <v>13801764345</v>
      </c>
      <c r="T12" s="65" t="s">
        <v>52</v>
      </c>
      <c r="U12" s="69" t="s">
        <v>45</v>
      </c>
      <c r="V12" s="69">
        <v>0</v>
      </c>
      <c r="W12" s="69">
        <v>2</v>
      </c>
      <c r="X12" s="69">
        <v>7362</v>
      </c>
      <c r="Y12" s="69">
        <f t="shared" si="3"/>
        <v>736.2</v>
      </c>
      <c r="Z12" s="69">
        <f t="shared" si="4"/>
        <v>245.37546</v>
      </c>
      <c r="AA12" s="69">
        <f t="shared" si="5"/>
        <v>490.75092</v>
      </c>
      <c r="AC12" s="47"/>
      <c r="AD12" s="47"/>
      <c r="AE12" s="47"/>
      <c r="AF12" s="47"/>
      <c r="AG12" s="47"/>
      <c r="AH12" s="47"/>
      <c r="AI12" s="47"/>
    </row>
    <row r="13" s="46" customFormat="1" ht="18" spans="1:35">
      <c r="A13" s="51">
        <v>11</v>
      </c>
      <c r="B13" s="51">
        <v>1</v>
      </c>
      <c r="C13" s="51" t="s">
        <v>66</v>
      </c>
      <c r="D13" s="51" t="s">
        <v>67</v>
      </c>
      <c r="E13" s="51" t="s">
        <v>30</v>
      </c>
      <c r="F13" s="51" t="s">
        <v>62</v>
      </c>
      <c r="G13" s="54" t="s">
        <v>68</v>
      </c>
      <c r="H13" s="51" t="s">
        <v>53</v>
      </c>
      <c r="I13" s="51" t="s">
        <v>45</v>
      </c>
      <c r="J13" s="51" t="s">
        <v>69</v>
      </c>
      <c r="K13" s="58">
        <v>45129</v>
      </c>
      <c r="L13" s="51">
        <v>25</v>
      </c>
      <c r="M13" s="51">
        <v>0</v>
      </c>
      <c r="N13" s="51">
        <v>3562</v>
      </c>
      <c r="O13" s="61">
        <v>0.1</v>
      </c>
      <c r="P13" s="51">
        <f t="shared" si="0"/>
        <v>356.2</v>
      </c>
      <c r="Q13" s="51">
        <f t="shared" si="1"/>
        <v>356.2</v>
      </c>
      <c r="R13" s="65">
        <v>125</v>
      </c>
      <c r="S13" s="65">
        <v>13761036677</v>
      </c>
      <c r="T13" s="65" t="s">
        <v>63</v>
      </c>
      <c r="U13" s="68"/>
      <c r="V13" s="68" t="s">
        <v>22</v>
      </c>
      <c r="W13" s="68" t="s">
        <v>23</v>
      </c>
      <c r="X13" s="68" t="s">
        <v>24</v>
      </c>
      <c r="Y13" s="68" t="s">
        <v>25</v>
      </c>
      <c r="Z13" s="68" t="s">
        <v>70</v>
      </c>
      <c r="AA13" s="68" t="s">
        <v>71</v>
      </c>
      <c r="AC13" s="47"/>
      <c r="AD13" s="47"/>
      <c r="AE13" s="47"/>
      <c r="AF13" s="47"/>
      <c r="AG13" s="47"/>
      <c r="AH13" s="47"/>
      <c r="AI13" s="47"/>
    </row>
    <row r="14" s="46" customFormat="1" ht="18" spans="1:35">
      <c r="A14" s="51">
        <v>12</v>
      </c>
      <c r="B14" s="51">
        <v>1</v>
      </c>
      <c r="C14" s="51" t="s">
        <v>72</v>
      </c>
      <c r="D14" s="51" t="s">
        <v>29</v>
      </c>
      <c r="E14" s="51" t="s">
        <v>30</v>
      </c>
      <c r="F14" s="51" t="s">
        <v>62</v>
      </c>
      <c r="G14" s="54" t="s">
        <v>73</v>
      </c>
      <c r="H14" s="51" t="s">
        <v>60</v>
      </c>
      <c r="I14" s="51" t="s">
        <v>74</v>
      </c>
      <c r="J14" s="51" t="s">
        <v>75</v>
      </c>
      <c r="K14" s="58">
        <v>45129</v>
      </c>
      <c r="L14" s="51">
        <v>25</v>
      </c>
      <c r="M14" s="51">
        <v>0</v>
      </c>
      <c r="N14" s="51">
        <v>3800</v>
      </c>
      <c r="O14" s="61">
        <v>0.1</v>
      </c>
      <c r="P14" s="51">
        <f t="shared" si="0"/>
        <v>380</v>
      </c>
      <c r="Q14" s="51">
        <f t="shared" si="1"/>
        <v>380</v>
      </c>
      <c r="R14" s="65">
        <v>125</v>
      </c>
      <c r="S14" s="65">
        <v>15800339751</v>
      </c>
      <c r="T14" s="65" t="s">
        <v>76</v>
      </c>
      <c r="U14" s="69" t="s">
        <v>74</v>
      </c>
      <c r="V14" s="69">
        <v>0</v>
      </c>
      <c r="W14" s="69">
        <v>2</v>
      </c>
      <c r="X14" s="69">
        <v>5380</v>
      </c>
      <c r="Y14" s="69">
        <f t="shared" si="3"/>
        <v>538</v>
      </c>
      <c r="Z14" s="69">
        <f t="shared" si="4"/>
        <v>179.3154</v>
      </c>
      <c r="AA14" s="69">
        <f t="shared" si="5"/>
        <v>358.6308</v>
      </c>
      <c r="AC14" s="47"/>
      <c r="AD14" s="47"/>
      <c r="AE14" s="47"/>
      <c r="AF14" s="47"/>
      <c r="AG14" s="47"/>
      <c r="AH14" s="47"/>
      <c r="AI14" s="47"/>
    </row>
    <row r="15" s="46" customFormat="1" ht="19" customHeight="1" spans="1:35">
      <c r="A15" s="51">
        <v>13</v>
      </c>
      <c r="B15" s="51">
        <v>1</v>
      </c>
      <c r="C15" s="51" t="s">
        <v>77</v>
      </c>
      <c r="D15" s="51" t="s">
        <v>29</v>
      </c>
      <c r="E15" s="51" t="s">
        <v>57</v>
      </c>
      <c r="F15" s="51" t="s">
        <v>62</v>
      </c>
      <c r="G15" s="54" t="s">
        <v>78</v>
      </c>
      <c r="H15" s="51" t="s">
        <v>60</v>
      </c>
      <c r="I15" s="51" t="s">
        <v>74</v>
      </c>
      <c r="J15" s="51" t="s">
        <v>79</v>
      </c>
      <c r="K15" s="58">
        <v>45130</v>
      </c>
      <c r="L15" s="51">
        <v>10</v>
      </c>
      <c r="M15" s="51">
        <v>0</v>
      </c>
      <c r="N15" s="51">
        <v>1520</v>
      </c>
      <c r="O15" s="61">
        <v>0.1</v>
      </c>
      <c r="P15" s="51">
        <f t="shared" si="0"/>
        <v>152</v>
      </c>
      <c r="Q15" s="51">
        <f t="shared" si="1"/>
        <v>152</v>
      </c>
      <c r="R15" s="65">
        <v>50</v>
      </c>
      <c r="S15" s="65">
        <v>13764481157</v>
      </c>
      <c r="T15" s="65" t="s">
        <v>80</v>
      </c>
      <c r="U15" s="68"/>
      <c r="V15" s="68" t="s">
        <v>22</v>
      </c>
      <c r="W15" s="68" t="s">
        <v>23</v>
      </c>
      <c r="X15" s="68" t="s">
        <v>24</v>
      </c>
      <c r="Y15" s="68" t="s">
        <v>25</v>
      </c>
      <c r="Z15" s="68" t="s">
        <v>70</v>
      </c>
      <c r="AA15" s="68" t="s">
        <v>81</v>
      </c>
      <c r="AC15" s="47"/>
      <c r="AD15" s="47"/>
      <c r="AE15" s="47"/>
      <c r="AF15" s="47"/>
      <c r="AG15" s="47"/>
      <c r="AH15" s="47"/>
      <c r="AI15" s="47"/>
    </row>
    <row r="16" s="46" customFormat="1" ht="18" spans="1:35">
      <c r="A16" s="51">
        <v>14</v>
      </c>
      <c r="B16" s="51">
        <v>1</v>
      </c>
      <c r="C16" s="51" t="s">
        <v>82</v>
      </c>
      <c r="D16" s="51" t="s">
        <v>29</v>
      </c>
      <c r="E16" s="51" t="s">
        <v>57</v>
      </c>
      <c r="F16" s="51" t="s">
        <v>62</v>
      </c>
      <c r="G16" s="54" t="s">
        <v>78</v>
      </c>
      <c r="H16" s="51" t="s">
        <v>60</v>
      </c>
      <c r="I16" s="51" t="s">
        <v>74</v>
      </c>
      <c r="J16" s="51" t="s">
        <v>83</v>
      </c>
      <c r="K16" s="58">
        <v>45131</v>
      </c>
      <c r="L16" s="51">
        <v>25</v>
      </c>
      <c r="M16" s="51">
        <v>2</v>
      </c>
      <c r="N16" s="51">
        <v>3800</v>
      </c>
      <c r="O16" s="61">
        <v>0.1</v>
      </c>
      <c r="P16" s="51">
        <f t="shared" si="0"/>
        <v>380</v>
      </c>
      <c r="Q16" s="51">
        <f t="shared" si="1"/>
        <v>380</v>
      </c>
      <c r="R16" s="65">
        <v>125</v>
      </c>
      <c r="S16" s="65">
        <v>13661566674</v>
      </c>
      <c r="T16" s="65" t="s">
        <v>80</v>
      </c>
      <c r="U16" s="69" t="s">
        <v>74</v>
      </c>
      <c r="V16" s="69">
        <v>0</v>
      </c>
      <c r="W16" s="69">
        <v>1</v>
      </c>
      <c r="X16" s="69">
        <v>1520</v>
      </c>
      <c r="Y16" s="69">
        <f>X16*10%</f>
        <v>152</v>
      </c>
      <c r="Z16" s="69">
        <f>Y16*33.33%</f>
        <v>50.6616</v>
      </c>
      <c r="AA16" s="69">
        <f>Y16*66.66%</f>
        <v>101.3232</v>
      </c>
      <c r="AC16" s="47"/>
      <c r="AD16" s="47"/>
      <c r="AE16" s="47"/>
      <c r="AF16" s="47"/>
      <c r="AG16" s="47"/>
      <c r="AH16" s="47"/>
      <c r="AI16" s="47"/>
    </row>
    <row r="17" s="46" customFormat="1" ht="18" spans="1:35">
      <c r="A17" s="51">
        <v>15</v>
      </c>
      <c r="B17" s="51">
        <v>1</v>
      </c>
      <c r="C17" s="51" t="s">
        <v>84</v>
      </c>
      <c r="D17" s="51" t="s">
        <v>29</v>
      </c>
      <c r="E17" s="51" t="s">
        <v>57</v>
      </c>
      <c r="F17" s="51" t="s">
        <v>62</v>
      </c>
      <c r="G17" s="54" t="s">
        <v>85</v>
      </c>
      <c r="H17" s="51" t="s">
        <v>60</v>
      </c>
      <c r="I17" s="51" t="s">
        <v>41</v>
      </c>
      <c r="J17" s="51" t="s">
        <v>86</v>
      </c>
      <c r="K17" s="58">
        <v>45131</v>
      </c>
      <c r="L17" s="51">
        <v>25</v>
      </c>
      <c r="M17" s="51">
        <v>0</v>
      </c>
      <c r="N17" s="51">
        <v>3800</v>
      </c>
      <c r="O17" s="61">
        <v>0.1</v>
      </c>
      <c r="P17" s="51">
        <f t="shared" si="0"/>
        <v>380</v>
      </c>
      <c r="Q17" s="51">
        <f t="shared" si="1"/>
        <v>380</v>
      </c>
      <c r="R17" s="65">
        <v>125</v>
      </c>
      <c r="S17" s="65">
        <v>13621663026</v>
      </c>
      <c r="T17" s="65" t="s">
        <v>87</v>
      </c>
      <c r="U17" s="68"/>
      <c r="V17" s="68" t="s">
        <v>22</v>
      </c>
      <c r="W17" s="68" t="s">
        <v>23</v>
      </c>
      <c r="X17" s="68" t="s">
        <v>24</v>
      </c>
      <c r="Y17" s="68" t="s">
        <v>25</v>
      </c>
      <c r="Z17" s="68" t="s">
        <v>70</v>
      </c>
      <c r="AA17" s="68" t="s">
        <v>88</v>
      </c>
      <c r="AC17" s="47"/>
      <c r="AD17" s="47"/>
      <c r="AE17" s="47"/>
      <c r="AF17" s="47"/>
      <c r="AG17" s="47"/>
      <c r="AH17" s="47"/>
      <c r="AI17" s="47"/>
    </row>
    <row r="18" s="46" customFormat="1" ht="18" spans="1:35">
      <c r="A18" s="51">
        <v>16</v>
      </c>
      <c r="B18" s="51">
        <v>1</v>
      </c>
      <c r="C18" s="51" t="s">
        <v>89</v>
      </c>
      <c r="D18" s="51" t="s">
        <v>29</v>
      </c>
      <c r="E18" s="51" t="s">
        <v>90</v>
      </c>
      <c r="F18" s="51" t="s">
        <v>58</v>
      </c>
      <c r="G18" s="54" t="s">
        <v>91</v>
      </c>
      <c r="H18" s="51" t="s">
        <v>60</v>
      </c>
      <c r="I18" s="51" t="s">
        <v>45</v>
      </c>
      <c r="J18" s="51" t="s">
        <v>69</v>
      </c>
      <c r="K18" s="58">
        <v>45133</v>
      </c>
      <c r="L18" s="51">
        <v>25</v>
      </c>
      <c r="M18" s="51">
        <v>0</v>
      </c>
      <c r="N18" s="51">
        <v>3800</v>
      </c>
      <c r="O18" s="61">
        <v>0.1</v>
      </c>
      <c r="P18" s="51">
        <f t="shared" si="0"/>
        <v>380</v>
      </c>
      <c r="Q18" s="51">
        <f t="shared" si="1"/>
        <v>380</v>
      </c>
      <c r="R18" s="65">
        <v>125</v>
      </c>
      <c r="S18" s="65">
        <v>18621893259</v>
      </c>
      <c r="T18" s="65" t="s">
        <v>92</v>
      </c>
      <c r="U18" s="69" t="s">
        <v>74</v>
      </c>
      <c r="V18" s="69">
        <v>0</v>
      </c>
      <c r="W18" s="69">
        <v>1</v>
      </c>
      <c r="X18" s="69">
        <v>3800</v>
      </c>
      <c r="Y18" s="69">
        <f>X18*10%</f>
        <v>380</v>
      </c>
      <c r="Z18" s="69">
        <f>Y18*33.33%</f>
        <v>126.654</v>
      </c>
      <c r="AA18" s="69">
        <f>Y18*66.66%</f>
        <v>253.308</v>
      </c>
      <c r="AC18" s="47"/>
      <c r="AD18" s="47"/>
      <c r="AE18" s="47"/>
      <c r="AF18" s="47"/>
      <c r="AG18" s="47"/>
      <c r="AH18" s="47"/>
      <c r="AI18" s="47"/>
    </row>
    <row r="19" s="46" customFormat="1" ht="36" spans="1:35">
      <c r="A19" s="51">
        <v>17</v>
      </c>
      <c r="B19" s="51">
        <v>1</v>
      </c>
      <c r="C19" s="51" t="s">
        <v>93</v>
      </c>
      <c r="D19" s="51" t="s">
        <v>29</v>
      </c>
      <c r="E19" s="51" t="s">
        <v>30</v>
      </c>
      <c r="F19" s="51" t="s">
        <v>62</v>
      </c>
      <c r="G19" s="54" t="s">
        <v>94</v>
      </c>
      <c r="H19" s="51" t="s">
        <v>33</v>
      </c>
      <c r="I19" s="51" t="s">
        <v>74</v>
      </c>
      <c r="J19" s="51" t="s">
        <v>75</v>
      </c>
      <c r="K19" s="58">
        <v>45136</v>
      </c>
      <c r="L19" s="51">
        <v>18</v>
      </c>
      <c r="M19" s="51">
        <v>0</v>
      </c>
      <c r="N19" s="51">
        <v>1580</v>
      </c>
      <c r="O19" s="61">
        <v>0.1</v>
      </c>
      <c r="P19" s="51">
        <f t="shared" si="0"/>
        <v>158</v>
      </c>
      <c r="Q19" s="51">
        <f t="shared" si="1"/>
        <v>158</v>
      </c>
      <c r="R19" s="65">
        <v>50</v>
      </c>
      <c r="S19" s="65">
        <v>18516028494</v>
      </c>
      <c r="T19" s="65" t="s">
        <v>95</v>
      </c>
      <c r="U19" s="70" t="s">
        <v>43</v>
      </c>
      <c r="V19" s="71">
        <v>0</v>
      </c>
      <c r="W19" s="71">
        <f t="shared" ref="W19:AA19" si="6">W10+W12+W14+W16+W18</f>
        <v>9</v>
      </c>
      <c r="X19" s="71">
        <f t="shared" si="6"/>
        <v>24784</v>
      </c>
      <c r="Y19" s="71">
        <f t="shared" si="6"/>
        <v>2478.4</v>
      </c>
      <c r="Z19" s="71">
        <f t="shared" si="6"/>
        <v>826.05072</v>
      </c>
      <c r="AA19" s="71">
        <f t="shared" si="6"/>
        <v>1652.10144</v>
      </c>
      <c r="AC19" s="47"/>
      <c r="AD19" s="47"/>
      <c r="AE19" s="47"/>
      <c r="AF19" s="47"/>
      <c r="AG19" s="47"/>
      <c r="AH19" s="47"/>
      <c r="AI19" s="47"/>
    </row>
    <row r="20" s="46" customFormat="1" ht="36" spans="1:35">
      <c r="A20" s="51">
        <v>18</v>
      </c>
      <c r="B20" s="51">
        <v>1</v>
      </c>
      <c r="C20" s="51" t="s">
        <v>96</v>
      </c>
      <c r="D20" s="51" t="s">
        <v>29</v>
      </c>
      <c r="E20" s="51" t="s">
        <v>30</v>
      </c>
      <c r="F20" s="51" t="s">
        <v>31</v>
      </c>
      <c r="G20" s="54" t="s">
        <v>94</v>
      </c>
      <c r="H20" s="51" t="s">
        <v>33</v>
      </c>
      <c r="I20" s="51" t="s">
        <v>45</v>
      </c>
      <c r="J20" s="51" t="s">
        <v>46</v>
      </c>
      <c r="K20" s="58">
        <v>45138</v>
      </c>
      <c r="L20" s="51">
        <v>18</v>
      </c>
      <c r="M20" s="51">
        <v>0</v>
      </c>
      <c r="N20" s="51">
        <v>1580</v>
      </c>
      <c r="O20" s="61">
        <v>0.1</v>
      </c>
      <c r="P20" s="51">
        <f t="shared" si="0"/>
        <v>158</v>
      </c>
      <c r="Q20" s="51">
        <f t="shared" si="1"/>
        <v>158</v>
      </c>
      <c r="R20" s="65">
        <v>50</v>
      </c>
      <c r="S20" s="65">
        <v>13810671326</v>
      </c>
      <c r="T20" s="65" t="s">
        <v>95</v>
      </c>
      <c r="U20" s="72" t="s">
        <v>48</v>
      </c>
      <c r="V20" s="72">
        <v>0</v>
      </c>
      <c r="W20" s="72">
        <f t="shared" ref="W20:Y20" si="7">W10+W12+W14+W16+W18</f>
        <v>9</v>
      </c>
      <c r="X20" s="72">
        <f t="shared" si="7"/>
        <v>24784</v>
      </c>
      <c r="Y20" s="72">
        <f t="shared" si="7"/>
        <v>2478.4</v>
      </c>
      <c r="Z20" s="72" t="s">
        <v>32</v>
      </c>
      <c r="AA20" s="72" t="s">
        <v>32</v>
      </c>
      <c r="AC20" s="47"/>
      <c r="AD20" s="47"/>
      <c r="AE20" s="47"/>
      <c r="AF20" s="47"/>
      <c r="AG20" s="47"/>
      <c r="AH20" s="47"/>
      <c r="AI20" s="47"/>
    </row>
    <row r="21" s="47" customFormat="1" ht="18" spans="1:28">
      <c r="A21" s="52">
        <v>19</v>
      </c>
      <c r="B21" s="52">
        <v>1</v>
      </c>
      <c r="C21" s="52" t="s">
        <v>97</v>
      </c>
      <c r="D21" s="52" t="s">
        <v>29</v>
      </c>
      <c r="E21" s="52" t="s">
        <v>90</v>
      </c>
      <c r="F21" s="52" t="s">
        <v>62</v>
      </c>
      <c r="G21" s="55" t="s">
        <v>98</v>
      </c>
      <c r="H21" s="52" t="s">
        <v>60</v>
      </c>
      <c r="I21" s="52" t="s">
        <v>41</v>
      </c>
      <c r="J21" s="52" t="s">
        <v>86</v>
      </c>
      <c r="K21" s="59">
        <v>45143</v>
      </c>
      <c r="L21" s="52">
        <v>25</v>
      </c>
      <c r="M21" s="52">
        <v>2</v>
      </c>
      <c r="N21" s="52">
        <v>3800</v>
      </c>
      <c r="O21" s="62">
        <v>0.1</v>
      </c>
      <c r="P21" s="52">
        <f t="shared" si="0"/>
        <v>380</v>
      </c>
      <c r="Q21" s="52">
        <f t="shared" si="1"/>
        <v>380</v>
      </c>
      <c r="R21" s="66">
        <v>125</v>
      </c>
      <c r="S21" s="66">
        <v>18916911068</v>
      </c>
      <c r="T21" s="66" t="s">
        <v>87</v>
      </c>
      <c r="U21" s="73" t="s">
        <v>99</v>
      </c>
      <c r="V21" s="74"/>
      <c r="W21" s="74"/>
      <c r="X21" s="74"/>
      <c r="Y21" s="74"/>
      <c r="Z21" s="74"/>
      <c r="AA21" s="74"/>
      <c r="AB21" s="78"/>
    </row>
    <row r="22" s="47" customFormat="1" ht="18" spans="1:28">
      <c r="A22" s="52">
        <v>20</v>
      </c>
      <c r="B22" s="52">
        <v>1</v>
      </c>
      <c r="C22" s="52" t="s">
        <v>100</v>
      </c>
      <c r="D22" s="52" t="s">
        <v>29</v>
      </c>
      <c r="E22" s="52" t="s">
        <v>30</v>
      </c>
      <c r="F22" s="52" t="s">
        <v>62</v>
      </c>
      <c r="G22" s="55" t="s">
        <v>98</v>
      </c>
      <c r="H22" s="52" t="s">
        <v>60</v>
      </c>
      <c r="I22" s="52" t="s">
        <v>41</v>
      </c>
      <c r="J22" s="52" t="s">
        <v>86</v>
      </c>
      <c r="K22" s="59">
        <v>45144</v>
      </c>
      <c r="L22" s="52">
        <v>25</v>
      </c>
      <c r="M22" s="52">
        <v>2</v>
      </c>
      <c r="N22" s="52">
        <v>3800</v>
      </c>
      <c r="O22" s="62">
        <v>0.1</v>
      </c>
      <c r="P22" s="52">
        <f t="shared" si="0"/>
        <v>380</v>
      </c>
      <c r="Q22" s="52">
        <f t="shared" si="1"/>
        <v>380</v>
      </c>
      <c r="R22" s="66">
        <v>125</v>
      </c>
      <c r="S22" s="66">
        <v>18721865720</v>
      </c>
      <c r="T22" s="66" t="s">
        <v>87</v>
      </c>
      <c r="U22" s="73"/>
      <c r="V22" s="74"/>
      <c r="W22" s="74"/>
      <c r="X22" s="74"/>
      <c r="Y22" s="74"/>
      <c r="Z22" s="74"/>
      <c r="AA22" s="74"/>
      <c r="AB22" s="78"/>
    </row>
    <row r="23" s="47" customFormat="1" ht="18" spans="1:28">
      <c r="A23" s="52">
        <v>21</v>
      </c>
      <c r="B23" s="52">
        <v>1</v>
      </c>
      <c r="C23" s="52" t="s">
        <v>101</v>
      </c>
      <c r="D23" s="52" t="s">
        <v>29</v>
      </c>
      <c r="E23" s="52" t="s">
        <v>30</v>
      </c>
      <c r="F23" s="52" t="s">
        <v>31</v>
      </c>
      <c r="G23" s="55" t="s">
        <v>59</v>
      </c>
      <c r="H23" s="52" t="s">
        <v>53</v>
      </c>
      <c r="I23" s="52" t="s">
        <v>34</v>
      </c>
      <c r="J23" s="52" t="s">
        <v>35</v>
      </c>
      <c r="K23" s="59">
        <v>45144</v>
      </c>
      <c r="L23" s="52">
        <v>25</v>
      </c>
      <c r="M23" s="52">
        <v>0</v>
      </c>
      <c r="N23" s="52">
        <v>3920</v>
      </c>
      <c r="O23" s="62">
        <v>0.1</v>
      </c>
      <c r="P23" s="52">
        <f t="shared" si="0"/>
        <v>392</v>
      </c>
      <c r="Q23" s="52">
        <f t="shared" si="1"/>
        <v>392</v>
      </c>
      <c r="R23" s="66">
        <v>125</v>
      </c>
      <c r="S23" s="66"/>
      <c r="T23" s="66" t="s">
        <v>59</v>
      </c>
      <c r="U23" s="73"/>
      <c r="V23" s="74"/>
      <c r="W23" s="74"/>
      <c r="X23" s="74"/>
      <c r="Y23" s="74"/>
      <c r="Z23" s="74"/>
      <c r="AA23" s="74"/>
      <c r="AB23" s="78"/>
    </row>
    <row r="24" s="47" customFormat="1" ht="18" spans="1:28">
      <c r="A24" s="52">
        <v>22</v>
      </c>
      <c r="B24" s="52">
        <v>1</v>
      </c>
      <c r="C24" s="52" t="s">
        <v>102</v>
      </c>
      <c r="D24" s="52" t="s">
        <v>29</v>
      </c>
      <c r="E24" s="52" t="s">
        <v>30</v>
      </c>
      <c r="F24" s="52" t="s">
        <v>31</v>
      </c>
      <c r="G24" s="55" t="s">
        <v>59</v>
      </c>
      <c r="H24" s="52" t="s">
        <v>53</v>
      </c>
      <c r="I24" s="52" t="s">
        <v>34</v>
      </c>
      <c r="J24" s="52" t="s">
        <v>35</v>
      </c>
      <c r="K24" s="59">
        <v>45144</v>
      </c>
      <c r="L24" s="52">
        <v>50</v>
      </c>
      <c r="M24" s="52">
        <v>0</v>
      </c>
      <c r="N24" s="52">
        <v>7000</v>
      </c>
      <c r="O24" s="62">
        <v>0.1</v>
      </c>
      <c r="P24" s="52">
        <f t="shared" si="0"/>
        <v>700</v>
      </c>
      <c r="Q24" s="52">
        <f t="shared" si="1"/>
        <v>700</v>
      </c>
      <c r="R24" s="66">
        <v>125</v>
      </c>
      <c r="S24" s="66">
        <v>18918107200</v>
      </c>
      <c r="T24" s="66" t="s">
        <v>59</v>
      </c>
      <c r="U24" s="73"/>
      <c r="V24" s="74"/>
      <c r="W24" s="74"/>
      <c r="X24" s="74"/>
      <c r="Y24" s="74"/>
      <c r="Z24" s="74"/>
      <c r="AA24" s="74"/>
      <c r="AB24" s="78"/>
    </row>
    <row r="25" s="47" customFormat="1" spans="1:28">
      <c r="A25" s="52">
        <v>23</v>
      </c>
      <c r="B25" s="52">
        <v>1</v>
      </c>
      <c r="C25" s="52" t="s">
        <v>103</v>
      </c>
      <c r="D25" s="52" t="s">
        <v>29</v>
      </c>
      <c r="E25" s="52" t="s">
        <v>104</v>
      </c>
      <c r="F25" s="52" t="s">
        <v>58</v>
      </c>
      <c r="G25" s="55"/>
      <c r="H25" s="52" t="s">
        <v>105</v>
      </c>
      <c r="I25" s="52" t="s">
        <v>45</v>
      </c>
      <c r="J25" s="52" t="s">
        <v>106</v>
      </c>
      <c r="K25" s="59">
        <v>45157</v>
      </c>
      <c r="L25" s="52">
        <v>50</v>
      </c>
      <c r="M25" s="52">
        <v>6</v>
      </c>
      <c r="N25" s="52">
        <v>5600</v>
      </c>
      <c r="O25" s="62">
        <v>0.1</v>
      </c>
      <c r="P25" s="52">
        <f t="shared" si="0"/>
        <v>560</v>
      </c>
      <c r="Q25" s="52">
        <f t="shared" si="1"/>
        <v>560</v>
      </c>
      <c r="R25" s="66">
        <v>200</v>
      </c>
      <c r="S25" s="66">
        <v>18001755766</v>
      </c>
      <c r="T25" s="66"/>
      <c r="U25" s="73"/>
      <c r="V25" s="74"/>
      <c r="W25" s="74"/>
      <c r="X25" s="74"/>
      <c r="Y25" s="74"/>
      <c r="Z25" s="74"/>
      <c r="AA25" s="74"/>
      <c r="AB25" s="78"/>
    </row>
    <row r="26" s="47" customFormat="1" ht="18" spans="1:28">
      <c r="A26" s="52">
        <v>24</v>
      </c>
      <c r="B26" s="52">
        <v>1</v>
      </c>
      <c r="C26" s="52" t="s">
        <v>107</v>
      </c>
      <c r="D26" s="52" t="s">
        <v>29</v>
      </c>
      <c r="E26" s="52" t="s">
        <v>57</v>
      </c>
      <c r="F26" s="52" t="s">
        <v>62</v>
      </c>
      <c r="G26" s="55" t="s">
        <v>108</v>
      </c>
      <c r="H26" s="52" t="s">
        <v>53</v>
      </c>
      <c r="I26" s="52" t="s">
        <v>45</v>
      </c>
      <c r="J26" s="52" t="s">
        <v>106</v>
      </c>
      <c r="K26" s="59">
        <v>45157</v>
      </c>
      <c r="L26" s="52">
        <v>50</v>
      </c>
      <c r="M26" s="52">
        <v>0</v>
      </c>
      <c r="N26" s="52">
        <v>5600</v>
      </c>
      <c r="O26" s="62">
        <v>0.1</v>
      </c>
      <c r="P26" s="52">
        <f t="shared" si="0"/>
        <v>560</v>
      </c>
      <c r="Q26" s="52">
        <f t="shared" si="1"/>
        <v>560</v>
      </c>
      <c r="R26" s="66">
        <v>200</v>
      </c>
      <c r="S26" s="66">
        <v>18001755766</v>
      </c>
      <c r="T26" s="66"/>
      <c r="U26" s="73"/>
      <c r="V26" s="74"/>
      <c r="W26" s="74"/>
      <c r="X26" s="74"/>
      <c r="Y26" s="74"/>
      <c r="Z26" s="74"/>
      <c r="AA26" s="74"/>
      <c r="AB26" s="78"/>
    </row>
    <row r="27" s="47" customFormat="1" ht="18" spans="1:28">
      <c r="A27" s="52">
        <v>25</v>
      </c>
      <c r="B27" s="52">
        <v>1</v>
      </c>
      <c r="C27" s="52" t="s">
        <v>109</v>
      </c>
      <c r="D27" s="52" t="s">
        <v>29</v>
      </c>
      <c r="E27" s="52" t="s">
        <v>90</v>
      </c>
      <c r="F27" s="52" t="s">
        <v>62</v>
      </c>
      <c r="G27" s="55" t="s">
        <v>110</v>
      </c>
      <c r="H27" s="52" t="s">
        <v>60</v>
      </c>
      <c r="I27" s="52" t="s">
        <v>74</v>
      </c>
      <c r="J27" s="52" t="s">
        <v>75</v>
      </c>
      <c r="K27" s="59">
        <v>45161</v>
      </c>
      <c r="L27" s="52">
        <v>16</v>
      </c>
      <c r="M27" s="52">
        <v>0</v>
      </c>
      <c r="N27" s="52">
        <v>1799</v>
      </c>
      <c r="O27" s="62">
        <v>0.1</v>
      </c>
      <c r="P27" s="52">
        <f t="shared" si="0"/>
        <v>179.9</v>
      </c>
      <c r="Q27" s="52">
        <f t="shared" si="1"/>
        <v>179.9</v>
      </c>
      <c r="R27" s="66">
        <v>50</v>
      </c>
      <c r="S27" s="66"/>
      <c r="T27" s="66" t="s">
        <v>111</v>
      </c>
      <c r="U27" s="73"/>
      <c r="V27" s="74"/>
      <c r="W27" s="74"/>
      <c r="X27" s="74"/>
      <c r="Y27" s="74"/>
      <c r="Z27" s="74"/>
      <c r="AA27" s="74"/>
      <c r="AB27" s="78"/>
    </row>
    <row r="28" s="47" customFormat="1" ht="18" spans="1:28">
      <c r="A28" s="52">
        <v>26</v>
      </c>
      <c r="B28" s="52">
        <v>1</v>
      </c>
      <c r="C28" s="52" t="s">
        <v>112</v>
      </c>
      <c r="D28" s="52" t="s">
        <v>29</v>
      </c>
      <c r="E28" s="52" t="s">
        <v>57</v>
      </c>
      <c r="F28" s="52" t="s">
        <v>31</v>
      </c>
      <c r="G28" s="55" t="s">
        <v>113</v>
      </c>
      <c r="H28" s="52" t="s">
        <v>60</v>
      </c>
      <c r="I28" s="52" t="s">
        <v>45</v>
      </c>
      <c r="J28" s="52" t="s">
        <v>106</v>
      </c>
      <c r="K28" s="59">
        <v>45161</v>
      </c>
      <c r="L28" s="52">
        <v>16</v>
      </c>
      <c r="M28" s="52">
        <v>0</v>
      </c>
      <c r="N28" s="52">
        <v>1799</v>
      </c>
      <c r="O28" s="62">
        <v>0.1</v>
      </c>
      <c r="P28" s="52">
        <f t="shared" si="0"/>
        <v>179.9</v>
      </c>
      <c r="Q28" s="52">
        <f t="shared" si="1"/>
        <v>179.9</v>
      </c>
      <c r="R28" s="66">
        <v>50</v>
      </c>
      <c r="S28" s="66"/>
      <c r="T28" s="66" t="s">
        <v>114</v>
      </c>
      <c r="U28" s="73"/>
      <c r="V28" s="74"/>
      <c r="W28" s="74"/>
      <c r="X28" s="74"/>
      <c r="Y28" s="74"/>
      <c r="Z28" s="74"/>
      <c r="AA28" s="74"/>
      <c r="AB28" s="78"/>
    </row>
    <row r="29" s="47" customFormat="1" ht="18" spans="1:28">
      <c r="A29" s="52">
        <v>27</v>
      </c>
      <c r="B29" s="52">
        <v>1</v>
      </c>
      <c r="C29" s="52" t="s">
        <v>115</v>
      </c>
      <c r="D29" s="52" t="s">
        <v>29</v>
      </c>
      <c r="E29" s="52" t="s">
        <v>57</v>
      </c>
      <c r="F29" s="52" t="s">
        <v>31</v>
      </c>
      <c r="G29" s="55" t="s">
        <v>113</v>
      </c>
      <c r="H29" s="52" t="s">
        <v>60</v>
      </c>
      <c r="I29" s="52" t="s">
        <v>45</v>
      </c>
      <c r="J29" s="52" t="s">
        <v>106</v>
      </c>
      <c r="K29" s="59">
        <v>45162</v>
      </c>
      <c r="L29" s="52">
        <v>16</v>
      </c>
      <c r="M29" s="52">
        <v>0</v>
      </c>
      <c r="N29" s="52">
        <v>1799</v>
      </c>
      <c r="O29" s="62">
        <v>0.1</v>
      </c>
      <c r="P29" s="52">
        <f t="shared" si="0"/>
        <v>179.9</v>
      </c>
      <c r="Q29" s="52">
        <f t="shared" si="1"/>
        <v>179.9</v>
      </c>
      <c r="R29" s="66">
        <v>50</v>
      </c>
      <c r="S29" s="66">
        <v>15921066107</v>
      </c>
      <c r="T29" s="66" t="s">
        <v>98</v>
      </c>
      <c r="U29" s="73"/>
      <c r="V29" s="74"/>
      <c r="W29" s="74"/>
      <c r="X29" s="74"/>
      <c r="Y29" s="74"/>
      <c r="Z29" s="74"/>
      <c r="AA29" s="74"/>
      <c r="AB29" s="78"/>
    </row>
    <row r="30" s="47" customFormat="1" ht="18" spans="1:28">
      <c r="A30" s="52">
        <v>28</v>
      </c>
      <c r="B30" s="52">
        <v>1</v>
      </c>
      <c r="C30" s="52" t="s">
        <v>116</v>
      </c>
      <c r="D30" s="52" t="s">
        <v>29</v>
      </c>
      <c r="E30" s="52" t="s">
        <v>30</v>
      </c>
      <c r="F30" s="52" t="s">
        <v>62</v>
      </c>
      <c r="G30" s="55" t="s">
        <v>78</v>
      </c>
      <c r="H30" s="52" t="s">
        <v>53</v>
      </c>
      <c r="I30" s="52" t="s">
        <v>74</v>
      </c>
      <c r="J30" s="52" t="s">
        <v>83</v>
      </c>
      <c r="K30" s="59">
        <v>45162</v>
      </c>
      <c r="L30" s="52">
        <v>41</v>
      </c>
      <c r="M30" s="52">
        <v>2</v>
      </c>
      <c r="N30" s="52">
        <v>5364</v>
      </c>
      <c r="O30" s="62">
        <v>0.1</v>
      </c>
      <c r="P30" s="52">
        <f t="shared" si="0"/>
        <v>536.4</v>
      </c>
      <c r="Q30" s="52">
        <f t="shared" si="1"/>
        <v>536.4</v>
      </c>
      <c r="R30" s="66">
        <v>50</v>
      </c>
      <c r="S30" s="66"/>
      <c r="T30" s="66"/>
      <c r="U30" s="73"/>
      <c r="V30" s="74"/>
      <c r="W30" s="74"/>
      <c r="X30" s="74"/>
      <c r="Y30" s="74"/>
      <c r="Z30" s="74"/>
      <c r="AA30" s="74"/>
      <c r="AB30" s="78"/>
    </row>
    <row r="31" s="47" customFormat="1" ht="18" spans="1:28">
      <c r="A31" s="52">
        <v>29</v>
      </c>
      <c r="B31" s="52">
        <v>1</v>
      </c>
      <c r="C31" s="52" t="s">
        <v>117</v>
      </c>
      <c r="D31" s="52" t="s">
        <v>29</v>
      </c>
      <c r="E31" s="52" t="s">
        <v>90</v>
      </c>
      <c r="F31" s="52" t="s">
        <v>31</v>
      </c>
      <c r="G31" s="55" t="s">
        <v>113</v>
      </c>
      <c r="H31" s="52" t="s">
        <v>60</v>
      </c>
      <c r="I31" s="52" t="s">
        <v>45</v>
      </c>
      <c r="J31" s="52" t="s">
        <v>106</v>
      </c>
      <c r="K31" s="59">
        <v>45164</v>
      </c>
      <c r="L31" s="52">
        <v>16</v>
      </c>
      <c r="M31" s="52">
        <v>0</v>
      </c>
      <c r="N31" s="52">
        <v>1799</v>
      </c>
      <c r="O31" s="62">
        <v>0.1</v>
      </c>
      <c r="P31" s="52">
        <f t="shared" si="0"/>
        <v>179.9</v>
      </c>
      <c r="Q31" s="52">
        <f t="shared" si="1"/>
        <v>179.9</v>
      </c>
      <c r="R31" s="66">
        <v>50</v>
      </c>
      <c r="S31" s="66">
        <v>18616796229</v>
      </c>
      <c r="T31" s="55" t="s">
        <v>98</v>
      </c>
      <c r="U31" s="73"/>
      <c r="V31" s="74"/>
      <c r="W31" s="74"/>
      <c r="X31" s="74"/>
      <c r="Y31" s="74"/>
      <c r="Z31" s="74"/>
      <c r="AA31" s="74"/>
      <c r="AB31" s="78"/>
    </row>
    <row r="32" s="47" customFormat="1" ht="18" spans="1:28">
      <c r="A32" s="52">
        <v>30</v>
      </c>
      <c r="B32" s="52">
        <v>1</v>
      </c>
      <c r="C32" s="52" t="s">
        <v>118</v>
      </c>
      <c r="D32" s="52" t="s">
        <v>29</v>
      </c>
      <c r="E32" s="52"/>
      <c r="F32" s="52" t="s">
        <v>62</v>
      </c>
      <c r="G32" s="55" t="s">
        <v>76</v>
      </c>
      <c r="H32" s="52" t="s">
        <v>60</v>
      </c>
      <c r="I32" s="52" t="s">
        <v>74</v>
      </c>
      <c r="J32" s="52" t="s">
        <v>75</v>
      </c>
      <c r="K32" s="59">
        <v>45169</v>
      </c>
      <c r="L32" s="52">
        <v>41</v>
      </c>
      <c r="M32" s="52">
        <v>0</v>
      </c>
      <c r="N32" s="52">
        <v>5149</v>
      </c>
      <c r="O32" s="62">
        <v>0.1</v>
      </c>
      <c r="P32" s="52">
        <f t="shared" si="0"/>
        <v>514.9</v>
      </c>
      <c r="Q32" s="52">
        <f t="shared" si="1"/>
        <v>514.9</v>
      </c>
      <c r="R32" s="66">
        <v>50</v>
      </c>
      <c r="S32" s="66"/>
      <c r="T32" s="55"/>
      <c r="U32" s="75"/>
      <c r="V32" s="76"/>
      <c r="W32" s="76"/>
      <c r="X32" s="76"/>
      <c r="Y32" s="76"/>
      <c r="Z32" s="76"/>
      <c r="AA32" s="76"/>
      <c r="AB32" s="79"/>
    </row>
    <row r="33" s="47" customFormat="1" ht="18" spans="1:28">
      <c r="A33" s="52">
        <v>31</v>
      </c>
      <c r="B33" s="52">
        <v>1</v>
      </c>
      <c r="C33" s="52" t="s">
        <v>119</v>
      </c>
      <c r="D33" s="52" t="s">
        <v>29</v>
      </c>
      <c r="E33" s="52" t="s">
        <v>57</v>
      </c>
      <c r="F33" s="52" t="s">
        <v>31</v>
      </c>
      <c r="G33" s="55" t="s">
        <v>59</v>
      </c>
      <c r="H33" s="52" t="s">
        <v>53</v>
      </c>
      <c r="I33" s="52" t="s">
        <v>34</v>
      </c>
      <c r="J33" s="52" t="s">
        <v>35</v>
      </c>
      <c r="K33" s="59">
        <v>45169</v>
      </c>
      <c r="L33" s="52">
        <v>16</v>
      </c>
      <c r="M33" s="52">
        <v>2</v>
      </c>
      <c r="N33" s="52">
        <v>2276</v>
      </c>
      <c r="O33" s="62">
        <v>0.1</v>
      </c>
      <c r="P33" s="52">
        <f t="shared" si="0"/>
        <v>227.6</v>
      </c>
      <c r="Q33" s="52">
        <f t="shared" si="1"/>
        <v>227.6</v>
      </c>
      <c r="R33" s="66">
        <v>50</v>
      </c>
      <c r="S33" s="66"/>
      <c r="T33" s="55"/>
      <c r="U33" s="75"/>
      <c r="V33" s="76"/>
      <c r="W33" s="76"/>
      <c r="X33" s="76"/>
      <c r="Y33" s="76"/>
      <c r="Z33" s="76"/>
      <c r="AA33" s="76"/>
      <c r="AB33" s="79"/>
    </row>
    <row r="34" s="47" customFormat="1" spans="1:28">
      <c r="A34" s="50" t="s">
        <v>43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3">
        <f t="shared" ref="L34:N34" si="8">SUM(L3:L33)</f>
        <v>791</v>
      </c>
      <c r="M34" s="53">
        <f t="shared" si="8"/>
        <v>24</v>
      </c>
      <c r="N34" s="53">
        <f t="shared" si="8"/>
        <v>100553</v>
      </c>
      <c r="O34" s="53"/>
      <c r="P34" s="53">
        <f t="shared" ref="P34:R34" si="9">SUM(P3:P33)</f>
        <v>10055.3</v>
      </c>
      <c r="Q34" s="53">
        <f t="shared" si="9"/>
        <v>10055.3</v>
      </c>
      <c r="R34" s="53">
        <f t="shared" si="9"/>
        <v>2600</v>
      </c>
      <c r="S34" s="50"/>
      <c r="T34" s="50"/>
      <c r="U34" s="68"/>
      <c r="V34" s="77" t="s">
        <v>31</v>
      </c>
      <c r="W34" s="77" t="s">
        <v>120</v>
      </c>
      <c r="X34" s="77" t="s">
        <v>121</v>
      </c>
      <c r="Y34" s="77" t="s">
        <v>122</v>
      </c>
      <c r="Z34" s="77" t="s">
        <v>123</v>
      </c>
      <c r="AA34" s="77" t="s">
        <v>124</v>
      </c>
      <c r="AB34" s="77" t="s">
        <v>43</v>
      </c>
    </row>
  </sheetData>
  <mergeCells count="3">
    <mergeCell ref="A1:T1"/>
    <mergeCell ref="U1:AA1"/>
    <mergeCell ref="U8:AA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0"/>
  <sheetViews>
    <sheetView tabSelected="1" workbookViewId="0">
      <selection activeCell="H23" sqref="H23"/>
    </sheetView>
  </sheetViews>
  <sheetFormatPr defaultColWidth="9.23076923076923" defaultRowHeight="16.8"/>
  <sheetData>
    <row r="1" spans="1:14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125</v>
      </c>
      <c r="H1" s="1" t="s">
        <v>9</v>
      </c>
      <c r="I1" s="1" t="s">
        <v>10</v>
      </c>
      <c r="J1" s="1" t="s">
        <v>11</v>
      </c>
      <c r="K1" s="1" t="s">
        <v>12</v>
      </c>
      <c r="L1" s="15" t="s">
        <v>13</v>
      </c>
      <c r="M1" s="15" t="s">
        <v>14</v>
      </c>
      <c r="N1" s="1" t="s">
        <v>15</v>
      </c>
    </row>
    <row r="2" ht="17.6" spans="1:14">
      <c r="A2" s="2">
        <v>1</v>
      </c>
      <c r="B2" s="2">
        <v>1</v>
      </c>
      <c r="C2" s="3" t="s">
        <v>126</v>
      </c>
      <c r="D2" s="2" t="s">
        <v>29</v>
      </c>
      <c r="E2" s="2" t="s">
        <v>57</v>
      </c>
      <c r="F2" s="2" t="s">
        <v>127</v>
      </c>
      <c r="G2" s="2" t="s">
        <v>128</v>
      </c>
      <c r="H2" s="2" t="s">
        <v>129</v>
      </c>
      <c r="I2" s="2" t="s">
        <v>130</v>
      </c>
      <c r="J2" s="2" t="s">
        <v>131</v>
      </c>
      <c r="K2" s="16">
        <v>44973</v>
      </c>
      <c r="L2" s="17">
        <v>50</v>
      </c>
      <c r="M2" s="17">
        <v>0</v>
      </c>
      <c r="N2" s="2">
        <v>5600</v>
      </c>
    </row>
    <row r="3" ht="17.6" spans="1:14">
      <c r="A3" s="2">
        <v>2</v>
      </c>
      <c r="B3" s="2">
        <v>1</v>
      </c>
      <c r="C3" s="3" t="s">
        <v>132</v>
      </c>
      <c r="D3" s="2" t="s">
        <v>29</v>
      </c>
      <c r="E3" s="2" t="s">
        <v>57</v>
      </c>
      <c r="F3" s="2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16">
        <v>44973</v>
      </c>
      <c r="L3" s="17">
        <v>50</v>
      </c>
      <c r="M3" s="17">
        <v>0</v>
      </c>
      <c r="N3" s="2">
        <v>5600</v>
      </c>
    </row>
    <row r="4" ht="17.6" spans="1:14">
      <c r="A4" s="2">
        <v>3</v>
      </c>
      <c r="B4" s="2">
        <v>1</v>
      </c>
      <c r="C4" s="2" t="s">
        <v>133</v>
      </c>
      <c r="D4" s="2" t="s">
        <v>29</v>
      </c>
      <c r="E4" s="2" t="s">
        <v>90</v>
      </c>
      <c r="F4" s="2" t="s">
        <v>134</v>
      </c>
      <c r="G4" s="2" t="s">
        <v>135</v>
      </c>
      <c r="H4" s="2" t="s">
        <v>129</v>
      </c>
      <c r="I4" s="2" t="s">
        <v>130</v>
      </c>
      <c r="J4" s="2" t="s">
        <v>131</v>
      </c>
      <c r="K4" s="16">
        <v>44973</v>
      </c>
      <c r="L4" s="17">
        <v>50</v>
      </c>
      <c r="M4" s="17">
        <v>2</v>
      </c>
      <c r="N4" s="2">
        <v>6300</v>
      </c>
    </row>
    <row r="5" ht="17.6" spans="1:14">
      <c r="A5" s="2">
        <v>4</v>
      </c>
      <c r="B5" s="2">
        <v>1</v>
      </c>
      <c r="C5" s="2" t="s">
        <v>136</v>
      </c>
      <c r="D5" s="2" t="s">
        <v>67</v>
      </c>
      <c r="E5" s="2" t="s">
        <v>57</v>
      </c>
      <c r="F5" s="2" t="s">
        <v>127</v>
      </c>
      <c r="G5" s="2" t="s">
        <v>32</v>
      </c>
      <c r="H5" s="2" t="s">
        <v>129</v>
      </c>
      <c r="I5" s="2" t="s">
        <v>130</v>
      </c>
      <c r="J5" s="2" t="s">
        <v>137</v>
      </c>
      <c r="K5" s="16">
        <v>44974</v>
      </c>
      <c r="L5" s="17">
        <v>25</v>
      </c>
      <c r="M5" s="17">
        <v>0</v>
      </c>
      <c r="N5" s="22">
        <v>6300</v>
      </c>
    </row>
    <row r="6" ht="17.6" spans="1:14">
      <c r="A6" s="2">
        <v>5</v>
      </c>
      <c r="B6" s="2">
        <v>1</v>
      </c>
      <c r="C6" s="4" t="s">
        <v>138</v>
      </c>
      <c r="D6" s="2" t="s">
        <v>67</v>
      </c>
      <c r="E6" s="2" t="s">
        <v>30</v>
      </c>
      <c r="F6" s="2" t="s">
        <v>32</v>
      </c>
      <c r="G6" s="2" t="s">
        <v>32</v>
      </c>
      <c r="H6" s="2" t="s">
        <v>139</v>
      </c>
      <c r="I6" s="2" t="s">
        <v>130</v>
      </c>
      <c r="J6" s="2" t="s">
        <v>137</v>
      </c>
      <c r="K6" s="16">
        <v>44974</v>
      </c>
      <c r="L6" s="17">
        <v>25</v>
      </c>
      <c r="M6" s="17">
        <v>0</v>
      </c>
      <c r="N6" s="5"/>
    </row>
    <row r="7" ht="17.6" spans="1:14">
      <c r="A7" s="5">
        <v>6</v>
      </c>
      <c r="B7" s="2">
        <v>1</v>
      </c>
      <c r="C7" s="6" t="s">
        <v>140</v>
      </c>
      <c r="D7" s="5" t="s">
        <v>29</v>
      </c>
      <c r="E7" s="5" t="s">
        <v>57</v>
      </c>
      <c r="F7" s="5" t="s">
        <v>141</v>
      </c>
      <c r="G7" s="5" t="s">
        <v>142</v>
      </c>
      <c r="H7" s="5" t="s">
        <v>129</v>
      </c>
      <c r="I7" s="5" t="s">
        <v>143</v>
      </c>
      <c r="J7" s="5" t="s">
        <v>144</v>
      </c>
      <c r="K7" s="16">
        <v>44966</v>
      </c>
      <c r="L7" s="17">
        <v>12</v>
      </c>
      <c r="M7" s="17">
        <v>1</v>
      </c>
      <c r="N7" s="23">
        <v>3325</v>
      </c>
    </row>
    <row r="8" ht="17.6" spans="1:14">
      <c r="A8" s="2">
        <v>7</v>
      </c>
      <c r="B8" s="2">
        <v>1</v>
      </c>
      <c r="C8" s="6" t="s">
        <v>145</v>
      </c>
      <c r="D8" s="5" t="s">
        <v>29</v>
      </c>
      <c r="E8" s="5" t="s">
        <v>57</v>
      </c>
      <c r="F8" s="5" t="s">
        <v>141</v>
      </c>
      <c r="G8" s="5" t="s">
        <v>142</v>
      </c>
      <c r="H8" s="2" t="s">
        <v>129</v>
      </c>
      <c r="I8" s="2" t="s">
        <v>143</v>
      </c>
      <c r="J8" s="5" t="s">
        <v>144</v>
      </c>
      <c r="K8" s="16">
        <v>44966</v>
      </c>
      <c r="L8" s="17">
        <v>12</v>
      </c>
      <c r="M8" s="17">
        <v>1</v>
      </c>
      <c r="N8" s="5"/>
    </row>
    <row r="9" ht="17.6" spans="1:14">
      <c r="A9" s="2">
        <v>8</v>
      </c>
      <c r="B9" s="2">
        <v>1</v>
      </c>
      <c r="C9" s="2" t="s">
        <v>146</v>
      </c>
      <c r="D9" s="5" t="s">
        <v>29</v>
      </c>
      <c r="E9" s="2" t="s">
        <v>90</v>
      </c>
      <c r="F9" s="2" t="s">
        <v>141</v>
      </c>
      <c r="G9" s="5" t="s">
        <v>142</v>
      </c>
      <c r="H9" s="2" t="s">
        <v>129</v>
      </c>
      <c r="I9" s="2" t="s">
        <v>143</v>
      </c>
      <c r="J9" s="2" t="s">
        <v>144</v>
      </c>
      <c r="K9" s="16">
        <v>44964</v>
      </c>
      <c r="L9" s="17">
        <v>50</v>
      </c>
      <c r="M9" s="17">
        <v>2</v>
      </c>
      <c r="N9" s="2">
        <v>6300</v>
      </c>
    </row>
    <row r="10" ht="17.6" spans="1:14">
      <c r="A10" s="2">
        <v>9</v>
      </c>
      <c r="B10" s="2">
        <v>1</v>
      </c>
      <c r="C10" s="2" t="s">
        <v>147</v>
      </c>
      <c r="D10" s="5" t="s">
        <v>29</v>
      </c>
      <c r="E10" s="2" t="s">
        <v>57</v>
      </c>
      <c r="F10" s="2" t="s">
        <v>141</v>
      </c>
      <c r="G10" s="5" t="s">
        <v>142</v>
      </c>
      <c r="H10" s="2" t="s">
        <v>129</v>
      </c>
      <c r="I10" s="2" t="s">
        <v>143</v>
      </c>
      <c r="J10" s="2" t="s">
        <v>144</v>
      </c>
      <c r="K10" s="16">
        <v>44961</v>
      </c>
      <c r="L10" s="17">
        <v>50</v>
      </c>
      <c r="M10" s="17">
        <v>2</v>
      </c>
      <c r="N10" s="2">
        <v>6300</v>
      </c>
    </row>
    <row r="11" ht="17.6" spans="1:14">
      <c r="A11" s="2">
        <v>10</v>
      </c>
      <c r="B11" s="2">
        <v>1</v>
      </c>
      <c r="C11" s="2" t="s">
        <v>148</v>
      </c>
      <c r="D11" s="5" t="s">
        <v>29</v>
      </c>
      <c r="E11" s="2" t="s">
        <v>57</v>
      </c>
      <c r="F11" s="2" t="s">
        <v>141</v>
      </c>
      <c r="G11" s="5" t="s">
        <v>128</v>
      </c>
      <c r="H11" s="2" t="s">
        <v>129</v>
      </c>
      <c r="I11" s="2" t="s">
        <v>149</v>
      </c>
      <c r="J11" s="2" t="s">
        <v>150</v>
      </c>
      <c r="K11" s="16">
        <v>44975</v>
      </c>
      <c r="L11" s="17">
        <v>25</v>
      </c>
      <c r="M11" s="17">
        <v>0</v>
      </c>
      <c r="N11" s="2">
        <v>3325</v>
      </c>
    </row>
    <row r="12" ht="17.6" spans="1:14">
      <c r="A12" s="2">
        <v>11</v>
      </c>
      <c r="B12" s="2">
        <v>1</v>
      </c>
      <c r="C12" s="2" t="s">
        <v>151</v>
      </c>
      <c r="D12" s="5" t="s">
        <v>29</v>
      </c>
      <c r="E12" s="2" t="s">
        <v>57</v>
      </c>
      <c r="F12" s="2" t="s">
        <v>141</v>
      </c>
      <c r="G12" s="5" t="s">
        <v>152</v>
      </c>
      <c r="H12" s="2" t="s">
        <v>129</v>
      </c>
      <c r="I12" s="2" t="s">
        <v>130</v>
      </c>
      <c r="J12" s="2" t="s">
        <v>131</v>
      </c>
      <c r="K12" s="16">
        <v>44976</v>
      </c>
      <c r="L12" s="17">
        <v>100</v>
      </c>
      <c r="M12" s="17">
        <v>4</v>
      </c>
      <c r="N12" s="2">
        <v>11200</v>
      </c>
    </row>
    <row r="13" ht="18" spans="1:14">
      <c r="A13" s="2">
        <v>12</v>
      </c>
      <c r="B13" s="2">
        <v>1</v>
      </c>
      <c r="C13" s="7" t="s">
        <v>153</v>
      </c>
      <c r="D13" s="5" t="s">
        <v>67</v>
      </c>
      <c r="E13" s="2" t="s">
        <v>57</v>
      </c>
      <c r="F13" s="2" t="s">
        <v>127</v>
      </c>
      <c r="G13" s="5" t="s">
        <v>32</v>
      </c>
      <c r="H13" s="2" t="s">
        <v>129</v>
      </c>
      <c r="I13" s="2" t="s">
        <v>130</v>
      </c>
      <c r="J13" s="2" t="s">
        <v>131</v>
      </c>
      <c r="K13" s="16">
        <v>44976</v>
      </c>
      <c r="L13" s="17">
        <v>100</v>
      </c>
      <c r="M13" s="17">
        <v>0</v>
      </c>
      <c r="N13" s="2">
        <v>11200</v>
      </c>
    </row>
    <row r="14" ht="18" spans="1:14">
      <c r="A14" s="2">
        <v>13</v>
      </c>
      <c r="B14" s="2">
        <v>1</v>
      </c>
      <c r="C14" s="8" t="s">
        <v>154</v>
      </c>
      <c r="D14" s="5" t="s">
        <v>29</v>
      </c>
      <c r="E14" s="2" t="s">
        <v>90</v>
      </c>
      <c r="F14" s="2" t="s">
        <v>141</v>
      </c>
      <c r="G14" s="5" t="s">
        <v>152</v>
      </c>
      <c r="H14" s="2" t="s">
        <v>129</v>
      </c>
      <c r="I14" s="2" t="s">
        <v>130</v>
      </c>
      <c r="J14" s="2" t="s">
        <v>155</v>
      </c>
      <c r="K14" s="16">
        <v>44977</v>
      </c>
      <c r="L14" s="17">
        <v>50</v>
      </c>
      <c r="M14" s="17">
        <v>2</v>
      </c>
      <c r="N14" s="2">
        <v>5600</v>
      </c>
    </row>
    <row r="15" ht="18" spans="1:14">
      <c r="A15" s="2">
        <v>14</v>
      </c>
      <c r="B15" s="2">
        <v>1</v>
      </c>
      <c r="C15" s="8" t="s">
        <v>156</v>
      </c>
      <c r="D15" s="5" t="s">
        <v>29</v>
      </c>
      <c r="E15" s="2" t="s">
        <v>157</v>
      </c>
      <c r="F15" s="2" t="s">
        <v>127</v>
      </c>
      <c r="G15" s="14" t="s">
        <v>158</v>
      </c>
      <c r="H15" s="2" t="s">
        <v>139</v>
      </c>
      <c r="I15" s="2" t="s">
        <v>130</v>
      </c>
      <c r="J15" s="2" t="s">
        <v>155</v>
      </c>
      <c r="K15" s="16">
        <v>44977</v>
      </c>
      <c r="L15" s="17">
        <v>50</v>
      </c>
      <c r="M15" s="17">
        <v>0</v>
      </c>
      <c r="N15" s="2">
        <v>5600</v>
      </c>
    </row>
    <row r="16" ht="18" spans="1:14">
      <c r="A16" s="2">
        <v>15</v>
      </c>
      <c r="B16" s="2">
        <v>1</v>
      </c>
      <c r="C16" s="7" t="s">
        <v>159</v>
      </c>
      <c r="D16" s="5" t="s">
        <v>29</v>
      </c>
      <c r="E16" s="2" t="s">
        <v>57</v>
      </c>
      <c r="F16" s="2" t="s">
        <v>141</v>
      </c>
      <c r="G16" s="5" t="s">
        <v>87</v>
      </c>
      <c r="H16" s="2" t="s">
        <v>129</v>
      </c>
      <c r="I16" s="2" t="s">
        <v>149</v>
      </c>
      <c r="J16" s="2" t="s">
        <v>160</v>
      </c>
      <c r="K16" s="16">
        <v>44977</v>
      </c>
      <c r="L16" s="17">
        <v>50</v>
      </c>
      <c r="M16" s="17">
        <v>0</v>
      </c>
      <c r="N16" s="2">
        <v>6300</v>
      </c>
    </row>
    <row r="17" ht="18" spans="1:14">
      <c r="A17" s="2">
        <v>16</v>
      </c>
      <c r="B17" s="2">
        <v>1</v>
      </c>
      <c r="C17" s="7" t="s">
        <v>161</v>
      </c>
      <c r="D17" s="5" t="s">
        <v>29</v>
      </c>
      <c r="E17" s="2" t="s">
        <v>57</v>
      </c>
      <c r="F17" s="2" t="s">
        <v>141</v>
      </c>
      <c r="G17" s="5" t="s">
        <v>162</v>
      </c>
      <c r="H17" s="2" t="s">
        <v>129</v>
      </c>
      <c r="I17" s="2" t="s">
        <v>143</v>
      </c>
      <c r="J17" s="2" t="s">
        <v>144</v>
      </c>
      <c r="K17" s="16">
        <v>44980</v>
      </c>
      <c r="L17" s="17">
        <v>25</v>
      </c>
      <c r="M17" s="17">
        <v>1</v>
      </c>
      <c r="N17" s="2">
        <v>3325</v>
      </c>
    </row>
    <row r="18" ht="18" spans="1:14">
      <c r="A18" s="2">
        <v>17</v>
      </c>
      <c r="B18" s="2">
        <v>1</v>
      </c>
      <c r="C18" s="7" t="s">
        <v>163</v>
      </c>
      <c r="D18" s="5" t="s">
        <v>29</v>
      </c>
      <c r="E18" s="2" t="s">
        <v>30</v>
      </c>
      <c r="F18" s="2" t="s">
        <v>141</v>
      </c>
      <c r="G18" s="5" t="s">
        <v>152</v>
      </c>
      <c r="H18" s="2" t="s">
        <v>129</v>
      </c>
      <c r="I18" s="2" t="s">
        <v>130</v>
      </c>
      <c r="J18" s="2" t="s">
        <v>137</v>
      </c>
      <c r="K18" s="16">
        <v>44982</v>
      </c>
      <c r="L18" s="17">
        <v>100</v>
      </c>
      <c r="M18" s="17">
        <v>2</v>
      </c>
      <c r="N18" s="2">
        <v>11200</v>
      </c>
    </row>
    <row r="19" ht="18" spans="1:14">
      <c r="A19" s="2">
        <v>18</v>
      </c>
      <c r="B19" s="2">
        <v>1</v>
      </c>
      <c r="C19" s="7" t="s">
        <v>164</v>
      </c>
      <c r="D19" s="5" t="s">
        <v>29</v>
      </c>
      <c r="E19" s="2" t="s">
        <v>90</v>
      </c>
      <c r="F19" s="2" t="s">
        <v>141</v>
      </c>
      <c r="G19" s="5" t="s">
        <v>87</v>
      </c>
      <c r="H19" s="2" t="s">
        <v>129</v>
      </c>
      <c r="I19" s="2" t="s">
        <v>149</v>
      </c>
      <c r="J19" s="2" t="s">
        <v>150</v>
      </c>
      <c r="K19" s="16">
        <v>44982</v>
      </c>
      <c r="L19" s="17">
        <v>50</v>
      </c>
      <c r="M19" s="17">
        <v>2</v>
      </c>
      <c r="N19" s="2">
        <v>6300</v>
      </c>
    </row>
    <row r="20" ht="18" spans="1:14">
      <c r="A20" s="2">
        <v>19</v>
      </c>
      <c r="B20" s="2">
        <v>1</v>
      </c>
      <c r="C20" s="7" t="s">
        <v>165</v>
      </c>
      <c r="D20" s="5" t="s">
        <v>29</v>
      </c>
      <c r="E20" s="2" t="s">
        <v>57</v>
      </c>
      <c r="F20" s="2" t="s">
        <v>141</v>
      </c>
      <c r="G20" s="5" t="s">
        <v>87</v>
      </c>
      <c r="H20" s="2" t="s">
        <v>129</v>
      </c>
      <c r="I20" s="2" t="s">
        <v>149</v>
      </c>
      <c r="J20" s="2" t="s">
        <v>150</v>
      </c>
      <c r="K20" s="16">
        <v>44982</v>
      </c>
      <c r="L20" s="17">
        <v>25</v>
      </c>
      <c r="M20" s="17">
        <v>0</v>
      </c>
      <c r="N20" s="2">
        <v>3325</v>
      </c>
    </row>
    <row r="21" ht="18" spans="1:14">
      <c r="A21" s="2">
        <v>20</v>
      </c>
      <c r="B21" s="2">
        <v>1</v>
      </c>
      <c r="C21" s="7" t="s">
        <v>166</v>
      </c>
      <c r="D21" s="5" t="s">
        <v>67</v>
      </c>
      <c r="E21" s="2" t="s">
        <v>30</v>
      </c>
      <c r="F21" s="2" t="s">
        <v>134</v>
      </c>
      <c r="G21" s="5" t="s">
        <v>32</v>
      </c>
      <c r="H21" s="2" t="s">
        <v>139</v>
      </c>
      <c r="I21" s="2" t="s">
        <v>167</v>
      </c>
      <c r="J21" s="2" t="s">
        <v>137</v>
      </c>
      <c r="K21" s="16">
        <v>44983</v>
      </c>
      <c r="L21" s="17">
        <v>50</v>
      </c>
      <c r="M21" s="17">
        <v>2</v>
      </c>
      <c r="N21" s="2">
        <v>6300</v>
      </c>
    </row>
    <row r="22" ht="18" spans="1:14">
      <c r="A22" s="2">
        <v>21</v>
      </c>
      <c r="B22" s="2">
        <v>1</v>
      </c>
      <c r="C22" s="7" t="s">
        <v>168</v>
      </c>
      <c r="D22" s="5" t="s">
        <v>29</v>
      </c>
      <c r="E22" s="2" t="s">
        <v>90</v>
      </c>
      <c r="F22" s="2" t="s">
        <v>141</v>
      </c>
      <c r="G22" s="5" t="s">
        <v>162</v>
      </c>
      <c r="H22" s="2" t="s">
        <v>129</v>
      </c>
      <c r="I22" s="2" t="s">
        <v>143</v>
      </c>
      <c r="J22" s="2" t="s">
        <v>144</v>
      </c>
      <c r="K22" s="16">
        <v>44983</v>
      </c>
      <c r="L22" s="17">
        <v>25</v>
      </c>
      <c r="M22" s="17">
        <v>1</v>
      </c>
      <c r="N22" s="2">
        <v>3325</v>
      </c>
    </row>
    <row r="23" ht="18" spans="1:14">
      <c r="A23" s="2">
        <v>22</v>
      </c>
      <c r="B23" s="2">
        <v>1</v>
      </c>
      <c r="C23" s="7" t="s">
        <v>169</v>
      </c>
      <c r="D23" s="5" t="s">
        <v>67</v>
      </c>
      <c r="E23" s="2" t="s">
        <v>30</v>
      </c>
      <c r="F23" s="2" t="s">
        <v>141</v>
      </c>
      <c r="G23" s="5" t="s">
        <v>32</v>
      </c>
      <c r="H23" s="2" t="s">
        <v>139</v>
      </c>
      <c r="I23" s="2" t="s">
        <v>149</v>
      </c>
      <c r="J23" s="2" t="s">
        <v>150</v>
      </c>
      <c r="K23" s="16">
        <v>44983</v>
      </c>
      <c r="L23" s="17">
        <v>25</v>
      </c>
      <c r="M23" s="17">
        <v>5</v>
      </c>
      <c r="N23" s="2">
        <v>3325</v>
      </c>
    </row>
    <row r="24" ht="18" spans="1:14">
      <c r="A24" s="2">
        <v>23</v>
      </c>
      <c r="B24" s="2">
        <v>1</v>
      </c>
      <c r="C24" s="7" t="s">
        <v>170</v>
      </c>
      <c r="D24" s="5" t="s">
        <v>29</v>
      </c>
      <c r="E24" s="2" t="s">
        <v>30</v>
      </c>
      <c r="F24" s="2" t="s">
        <v>141</v>
      </c>
      <c r="G24" s="5" t="s">
        <v>128</v>
      </c>
      <c r="H24" s="2" t="s">
        <v>139</v>
      </c>
      <c r="I24" s="2" t="s">
        <v>149</v>
      </c>
      <c r="J24" s="2" t="s">
        <v>150</v>
      </c>
      <c r="K24" s="16">
        <v>44985</v>
      </c>
      <c r="L24" s="17">
        <v>25</v>
      </c>
      <c r="M24" s="17">
        <v>0</v>
      </c>
      <c r="N24" s="2">
        <v>3325</v>
      </c>
    </row>
    <row r="25" ht="18" spans="1:14">
      <c r="A25" s="2">
        <v>24</v>
      </c>
      <c r="B25" s="2">
        <v>1</v>
      </c>
      <c r="C25" s="7" t="s">
        <v>171</v>
      </c>
      <c r="D25" s="5" t="s">
        <v>29</v>
      </c>
      <c r="E25" s="2" t="s">
        <v>104</v>
      </c>
      <c r="F25" s="2" t="s">
        <v>141</v>
      </c>
      <c r="G25" s="5" t="s">
        <v>80</v>
      </c>
      <c r="H25" s="2" t="s">
        <v>129</v>
      </c>
      <c r="I25" s="2" t="s">
        <v>149</v>
      </c>
      <c r="J25" s="2" t="s">
        <v>150</v>
      </c>
      <c r="K25" s="16">
        <v>44984</v>
      </c>
      <c r="L25" s="17">
        <v>25</v>
      </c>
      <c r="M25" s="17">
        <v>0</v>
      </c>
      <c r="N25" s="2">
        <v>3325</v>
      </c>
    </row>
    <row r="26" ht="18" spans="1:14">
      <c r="A26" s="2">
        <v>25</v>
      </c>
      <c r="B26" s="2">
        <v>1</v>
      </c>
      <c r="C26" s="7" t="s">
        <v>172</v>
      </c>
      <c r="D26" s="5" t="s">
        <v>29</v>
      </c>
      <c r="E26" s="2" t="s">
        <v>90</v>
      </c>
      <c r="F26" s="2" t="s">
        <v>141</v>
      </c>
      <c r="G26" s="5" t="s">
        <v>173</v>
      </c>
      <c r="H26" s="2" t="s">
        <v>129</v>
      </c>
      <c r="I26" s="2" t="s">
        <v>149</v>
      </c>
      <c r="J26" s="2" t="s">
        <v>150</v>
      </c>
      <c r="K26" s="16">
        <v>44985</v>
      </c>
      <c r="L26" s="17">
        <v>25</v>
      </c>
      <c r="M26" s="17">
        <v>4</v>
      </c>
      <c r="N26" s="2">
        <v>3325</v>
      </c>
    </row>
    <row r="27" ht="18" spans="1:14">
      <c r="A27" s="2">
        <v>26</v>
      </c>
      <c r="B27" s="2">
        <v>1</v>
      </c>
      <c r="C27" s="7" t="s">
        <v>174</v>
      </c>
      <c r="D27" s="5" t="s">
        <v>29</v>
      </c>
      <c r="E27" s="2" t="s">
        <v>90</v>
      </c>
      <c r="F27" s="2" t="s">
        <v>141</v>
      </c>
      <c r="G27" s="5" t="s">
        <v>173</v>
      </c>
      <c r="H27" s="2" t="s">
        <v>129</v>
      </c>
      <c r="I27" s="2" t="s">
        <v>149</v>
      </c>
      <c r="J27" s="2" t="s">
        <v>160</v>
      </c>
      <c r="K27" s="16">
        <v>44985</v>
      </c>
      <c r="L27" s="17">
        <v>50</v>
      </c>
      <c r="M27" s="17">
        <v>0</v>
      </c>
      <c r="N27" s="2">
        <v>6300</v>
      </c>
    </row>
    <row r="28" ht="18" spans="1:14">
      <c r="A28" s="2">
        <v>27</v>
      </c>
      <c r="B28" s="2">
        <v>1</v>
      </c>
      <c r="C28" s="7" t="s">
        <v>175</v>
      </c>
      <c r="D28" s="5" t="s">
        <v>29</v>
      </c>
      <c r="E28" s="2" t="s">
        <v>90</v>
      </c>
      <c r="F28" s="2" t="s">
        <v>141</v>
      </c>
      <c r="G28" s="5" t="s">
        <v>176</v>
      </c>
      <c r="H28" s="2" t="s">
        <v>129</v>
      </c>
      <c r="I28" s="2" t="s">
        <v>149</v>
      </c>
      <c r="J28" s="2" t="s">
        <v>150</v>
      </c>
      <c r="K28" s="16">
        <v>44985</v>
      </c>
      <c r="L28" s="17">
        <v>25</v>
      </c>
      <c r="M28" s="17">
        <v>1</v>
      </c>
      <c r="N28" s="2">
        <v>3325</v>
      </c>
    </row>
    <row r="29" ht="18" spans="1:14">
      <c r="A29" s="2">
        <v>28</v>
      </c>
      <c r="B29" s="2">
        <v>1</v>
      </c>
      <c r="C29" s="7" t="s">
        <v>177</v>
      </c>
      <c r="D29" s="5" t="s">
        <v>29</v>
      </c>
      <c r="E29" s="2" t="s">
        <v>90</v>
      </c>
      <c r="F29" s="2" t="s">
        <v>141</v>
      </c>
      <c r="G29" s="5" t="s">
        <v>178</v>
      </c>
      <c r="H29" s="2" t="s">
        <v>129</v>
      </c>
      <c r="I29" s="2" t="s">
        <v>130</v>
      </c>
      <c r="J29" s="2" t="s">
        <v>131</v>
      </c>
      <c r="K29" s="16">
        <v>44986</v>
      </c>
      <c r="L29" s="17">
        <v>25</v>
      </c>
      <c r="M29" s="17">
        <v>2</v>
      </c>
      <c r="N29" s="2">
        <v>3325</v>
      </c>
    </row>
    <row r="30" ht="18" spans="1:14">
      <c r="A30" s="2">
        <v>29</v>
      </c>
      <c r="B30" s="2">
        <v>1</v>
      </c>
      <c r="C30" s="7" t="s">
        <v>179</v>
      </c>
      <c r="D30" s="5" t="s">
        <v>29</v>
      </c>
      <c r="E30" s="2" t="s">
        <v>57</v>
      </c>
      <c r="F30" s="2" t="s">
        <v>141</v>
      </c>
      <c r="G30" s="5" t="s">
        <v>173</v>
      </c>
      <c r="H30" s="2" t="s">
        <v>129</v>
      </c>
      <c r="I30" s="2" t="s">
        <v>149</v>
      </c>
      <c r="J30" s="2" t="s">
        <v>150</v>
      </c>
      <c r="K30" s="16">
        <v>44988</v>
      </c>
      <c r="L30" s="17">
        <v>50</v>
      </c>
      <c r="M30" s="17">
        <v>2</v>
      </c>
      <c r="N30" s="2">
        <v>6300</v>
      </c>
    </row>
    <row r="31" ht="18" spans="1:14">
      <c r="A31" s="2">
        <v>30</v>
      </c>
      <c r="B31" s="2">
        <v>1</v>
      </c>
      <c r="C31" s="7" t="s">
        <v>180</v>
      </c>
      <c r="D31" s="5" t="s">
        <v>29</v>
      </c>
      <c r="E31" s="2" t="s">
        <v>57</v>
      </c>
      <c r="F31" s="2" t="s">
        <v>141</v>
      </c>
      <c r="G31" s="5" t="s">
        <v>176</v>
      </c>
      <c r="H31" s="2" t="s">
        <v>129</v>
      </c>
      <c r="I31" s="2" t="s">
        <v>149</v>
      </c>
      <c r="J31" s="2" t="s">
        <v>150</v>
      </c>
      <c r="K31" s="16">
        <v>44989</v>
      </c>
      <c r="L31" s="17">
        <v>25</v>
      </c>
      <c r="M31" s="17">
        <v>0</v>
      </c>
      <c r="N31" s="2">
        <v>3325</v>
      </c>
    </row>
    <row r="32" ht="18" spans="1:14">
      <c r="A32" s="2">
        <v>31</v>
      </c>
      <c r="B32" s="2">
        <v>1</v>
      </c>
      <c r="C32" s="7" t="s">
        <v>181</v>
      </c>
      <c r="D32" s="5" t="s">
        <v>29</v>
      </c>
      <c r="E32" s="2" t="s">
        <v>57</v>
      </c>
      <c r="F32" s="2" t="s">
        <v>141</v>
      </c>
      <c r="G32" s="5" t="s">
        <v>176</v>
      </c>
      <c r="H32" s="2" t="s">
        <v>129</v>
      </c>
      <c r="I32" s="2" t="s">
        <v>149</v>
      </c>
      <c r="J32" s="2" t="s">
        <v>150</v>
      </c>
      <c r="K32" s="16">
        <v>44989</v>
      </c>
      <c r="L32" s="17">
        <v>25</v>
      </c>
      <c r="M32" s="17">
        <v>1</v>
      </c>
      <c r="N32" s="2">
        <v>3325</v>
      </c>
    </row>
    <row r="33" ht="18" spans="1:14">
      <c r="A33" s="2">
        <v>32</v>
      </c>
      <c r="B33" s="2">
        <v>1</v>
      </c>
      <c r="C33" s="7" t="s">
        <v>182</v>
      </c>
      <c r="D33" s="5" t="s">
        <v>67</v>
      </c>
      <c r="E33" s="2" t="s">
        <v>90</v>
      </c>
      <c r="F33" s="2" t="s">
        <v>141</v>
      </c>
      <c r="G33" s="5" t="s">
        <v>32</v>
      </c>
      <c r="H33" s="2" t="s">
        <v>129</v>
      </c>
      <c r="I33" s="2" t="s">
        <v>143</v>
      </c>
      <c r="J33" s="2" t="s">
        <v>144</v>
      </c>
      <c r="K33" s="16">
        <v>44989</v>
      </c>
      <c r="L33" s="17">
        <v>25</v>
      </c>
      <c r="M33" s="17">
        <v>1</v>
      </c>
      <c r="N33" s="2">
        <v>3325</v>
      </c>
    </row>
    <row r="34" ht="18" spans="1:14">
      <c r="A34" s="2">
        <v>33</v>
      </c>
      <c r="B34" s="2">
        <v>1</v>
      </c>
      <c r="C34" s="7" t="s">
        <v>183</v>
      </c>
      <c r="D34" s="5" t="s">
        <v>29</v>
      </c>
      <c r="E34" s="2" t="s">
        <v>30</v>
      </c>
      <c r="F34" s="2" t="s">
        <v>141</v>
      </c>
      <c r="G34" s="5" t="s">
        <v>184</v>
      </c>
      <c r="H34" s="2" t="s">
        <v>139</v>
      </c>
      <c r="I34" s="2" t="s">
        <v>143</v>
      </c>
      <c r="J34" s="2" t="s">
        <v>144</v>
      </c>
      <c r="K34" s="16">
        <v>44989</v>
      </c>
      <c r="L34" s="17">
        <v>25</v>
      </c>
      <c r="M34" s="17">
        <v>1</v>
      </c>
      <c r="N34" s="2">
        <v>3325</v>
      </c>
    </row>
    <row r="35" ht="18" spans="1:14">
      <c r="A35" s="2">
        <v>34</v>
      </c>
      <c r="B35" s="2">
        <v>1</v>
      </c>
      <c r="C35" s="7" t="s">
        <v>185</v>
      </c>
      <c r="D35" s="5" t="s">
        <v>67</v>
      </c>
      <c r="E35" s="2" t="s">
        <v>30</v>
      </c>
      <c r="F35" s="2" t="s">
        <v>127</v>
      </c>
      <c r="G35" s="5" t="s">
        <v>186</v>
      </c>
      <c r="H35" s="2" t="s">
        <v>139</v>
      </c>
      <c r="I35" s="2" t="s">
        <v>130</v>
      </c>
      <c r="J35" s="2" t="s">
        <v>137</v>
      </c>
      <c r="K35" s="16">
        <v>44990</v>
      </c>
      <c r="L35" s="17">
        <v>50</v>
      </c>
      <c r="M35" s="17">
        <v>0</v>
      </c>
      <c r="N35" s="2">
        <v>6300</v>
      </c>
    </row>
    <row r="36" ht="18" spans="1:14">
      <c r="A36" s="2">
        <v>35</v>
      </c>
      <c r="B36" s="2">
        <v>1</v>
      </c>
      <c r="C36" s="7" t="s">
        <v>187</v>
      </c>
      <c r="D36" s="5" t="s">
        <v>67</v>
      </c>
      <c r="E36" s="2" t="s">
        <v>30</v>
      </c>
      <c r="F36" s="2" t="s">
        <v>127</v>
      </c>
      <c r="G36" s="5" t="s">
        <v>186</v>
      </c>
      <c r="H36" s="2" t="s">
        <v>139</v>
      </c>
      <c r="I36" s="2" t="s">
        <v>130</v>
      </c>
      <c r="J36" s="2" t="s">
        <v>137</v>
      </c>
      <c r="K36" s="16">
        <v>44990</v>
      </c>
      <c r="L36" s="17">
        <v>25</v>
      </c>
      <c r="M36" s="17">
        <v>0</v>
      </c>
      <c r="N36" s="2">
        <v>3325</v>
      </c>
    </row>
    <row r="37" ht="18" spans="1:14">
      <c r="A37" s="2">
        <v>36</v>
      </c>
      <c r="B37" s="2">
        <v>1</v>
      </c>
      <c r="C37" s="7" t="s">
        <v>188</v>
      </c>
      <c r="D37" s="5" t="s">
        <v>29</v>
      </c>
      <c r="E37" s="2" t="s">
        <v>30</v>
      </c>
      <c r="F37" s="2" t="s">
        <v>141</v>
      </c>
      <c r="G37" s="5" t="s">
        <v>128</v>
      </c>
      <c r="H37" s="2" t="s">
        <v>139</v>
      </c>
      <c r="I37" s="2" t="s">
        <v>149</v>
      </c>
      <c r="J37" s="2" t="s">
        <v>150</v>
      </c>
      <c r="K37" s="16">
        <v>44990</v>
      </c>
      <c r="L37" s="17">
        <v>25</v>
      </c>
      <c r="M37" s="17">
        <v>4</v>
      </c>
      <c r="N37" s="2">
        <v>3325</v>
      </c>
    </row>
    <row r="38" ht="18" spans="1:14">
      <c r="A38" s="2">
        <v>37</v>
      </c>
      <c r="B38" s="2">
        <v>1</v>
      </c>
      <c r="C38" s="7" t="s">
        <v>189</v>
      </c>
      <c r="D38" s="5" t="s">
        <v>29</v>
      </c>
      <c r="E38" s="2" t="s">
        <v>30</v>
      </c>
      <c r="F38" s="2" t="s">
        <v>127</v>
      </c>
      <c r="G38" s="5" t="s">
        <v>80</v>
      </c>
      <c r="H38" s="2" t="s">
        <v>139</v>
      </c>
      <c r="I38" s="2" t="s">
        <v>130</v>
      </c>
      <c r="J38" s="2" t="s">
        <v>137</v>
      </c>
      <c r="K38" s="16">
        <v>44990</v>
      </c>
      <c r="L38" s="17">
        <v>25</v>
      </c>
      <c r="M38" s="17">
        <v>2</v>
      </c>
      <c r="N38" s="2">
        <v>3325</v>
      </c>
    </row>
    <row r="39" ht="18" spans="1:14">
      <c r="A39" s="2">
        <v>38</v>
      </c>
      <c r="B39" s="2">
        <v>1</v>
      </c>
      <c r="C39" s="7" t="s">
        <v>190</v>
      </c>
      <c r="D39" s="5" t="s">
        <v>67</v>
      </c>
      <c r="E39" s="2" t="s">
        <v>57</v>
      </c>
      <c r="F39" s="2" t="s">
        <v>127</v>
      </c>
      <c r="G39" s="5" t="s">
        <v>32</v>
      </c>
      <c r="H39" s="2" t="s">
        <v>129</v>
      </c>
      <c r="I39" s="2" t="s">
        <v>130</v>
      </c>
      <c r="J39" s="2" t="s">
        <v>137</v>
      </c>
      <c r="K39" s="16">
        <v>44990</v>
      </c>
      <c r="L39" s="17">
        <v>25</v>
      </c>
      <c r="M39" s="17">
        <v>0</v>
      </c>
      <c r="N39" s="2">
        <v>3325</v>
      </c>
    </row>
    <row r="40" ht="18" spans="1:14">
      <c r="A40" s="9">
        <v>39</v>
      </c>
      <c r="B40" s="9">
        <v>1</v>
      </c>
      <c r="C40" s="10" t="s">
        <v>191</v>
      </c>
      <c r="D40" s="11" t="s">
        <v>67</v>
      </c>
      <c r="E40" s="9" t="s">
        <v>57</v>
      </c>
      <c r="F40" s="9" t="s">
        <v>32</v>
      </c>
      <c r="G40" s="11" t="s">
        <v>32</v>
      </c>
      <c r="H40" s="9" t="s">
        <v>129</v>
      </c>
      <c r="I40" s="9" t="s">
        <v>130</v>
      </c>
      <c r="J40" s="9" t="s">
        <v>137</v>
      </c>
      <c r="K40" s="18">
        <v>44990</v>
      </c>
      <c r="L40" s="19">
        <v>0</v>
      </c>
      <c r="M40" s="19">
        <v>0</v>
      </c>
      <c r="N40" s="9">
        <v>0</v>
      </c>
    </row>
    <row r="41" ht="18" spans="1:14">
      <c r="A41" s="12">
        <v>40</v>
      </c>
      <c r="B41" s="12">
        <v>1</v>
      </c>
      <c r="C41" s="13" t="s">
        <v>192</v>
      </c>
      <c r="D41" s="14" t="s">
        <v>29</v>
      </c>
      <c r="E41" s="12" t="s">
        <v>90</v>
      </c>
      <c r="F41" s="12" t="s">
        <v>141</v>
      </c>
      <c r="G41" s="14" t="s">
        <v>87</v>
      </c>
      <c r="H41" s="12" t="s">
        <v>129</v>
      </c>
      <c r="I41" s="12" t="s">
        <v>149</v>
      </c>
      <c r="J41" s="12" t="s">
        <v>150</v>
      </c>
      <c r="K41" s="20">
        <v>44992</v>
      </c>
      <c r="L41" s="21">
        <v>25</v>
      </c>
      <c r="M41" s="21">
        <v>0</v>
      </c>
      <c r="N41" s="12">
        <v>3325</v>
      </c>
    </row>
    <row r="42" ht="18" spans="1:14">
      <c r="A42" s="12">
        <v>41</v>
      </c>
      <c r="B42" s="12">
        <v>1</v>
      </c>
      <c r="C42" s="13" t="s">
        <v>193</v>
      </c>
      <c r="D42" s="14" t="s">
        <v>29</v>
      </c>
      <c r="E42" s="12" t="s">
        <v>57</v>
      </c>
      <c r="F42" s="12" t="s">
        <v>141</v>
      </c>
      <c r="G42" s="14" t="s">
        <v>152</v>
      </c>
      <c r="H42" s="12" t="s">
        <v>129</v>
      </c>
      <c r="I42" s="12" t="s">
        <v>130</v>
      </c>
      <c r="J42" s="12" t="s">
        <v>155</v>
      </c>
      <c r="K42" s="20">
        <v>44993</v>
      </c>
      <c r="L42" s="21">
        <v>25</v>
      </c>
      <c r="M42" s="21">
        <v>2</v>
      </c>
      <c r="N42" s="12">
        <v>3325</v>
      </c>
    </row>
    <row r="43" ht="18" spans="1:14">
      <c r="A43" s="12">
        <v>42</v>
      </c>
      <c r="B43" s="12">
        <v>1</v>
      </c>
      <c r="C43" s="13" t="s">
        <v>194</v>
      </c>
      <c r="D43" s="14" t="s">
        <v>29</v>
      </c>
      <c r="E43" s="12" t="s">
        <v>57</v>
      </c>
      <c r="F43" s="12" t="s">
        <v>127</v>
      </c>
      <c r="G43" s="14" t="s">
        <v>152</v>
      </c>
      <c r="H43" s="12" t="s">
        <v>129</v>
      </c>
      <c r="I43" s="12" t="s">
        <v>130</v>
      </c>
      <c r="J43" s="12" t="s">
        <v>155</v>
      </c>
      <c r="K43" s="20">
        <v>44995</v>
      </c>
      <c r="L43" s="21">
        <v>50</v>
      </c>
      <c r="M43" s="21">
        <v>0</v>
      </c>
      <c r="N43" s="12">
        <v>6300</v>
      </c>
    </row>
    <row r="44" ht="18" spans="1:14">
      <c r="A44" s="12">
        <v>43</v>
      </c>
      <c r="B44" s="12">
        <v>1</v>
      </c>
      <c r="C44" s="13" t="s">
        <v>195</v>
      </c>
      <c r="D44" s="14" t="s">
        <v>67</v>
      </c>
      <c r="E44" s="12" t="s">
        <v>57</v>
      </c>
      <c r="F44" s="12" t="s">
        <v>134</v>
      </c>
      <c r="G44" s="14" t="s">
        <v>32</v>
      </c>
      <c r="H44" s="12" t="s">
        <v>129</v>
      </c>
      <c r="I44" s="12" t="s">
        <v>167</v>
      </c>
      <c r="J44" s="12" t="s">
        <v>137</v>
      </c>
      <c r="K44" s="20">
        <v>45003</v>
      </c>
      <c r="L44" s="21">
        <v>25</v>
      </c>
      <c r="M44" s="21">
        <v>0</v>
      </c>
      <c r="N44" s="12">
        <v>3325</v>
      </c>
    </row>
    <row r="45" ht="18" spans="1:14">
      <c r="A45" s="12">
        <v>44</v>
      </c>
      <c r="B45" s="12">
        <v>1</v>
      </c>
      <c r="C45" s="13" t="s">
        <v>196</v>
      </c>
      <c r="D45" s="14" t="s">
        <v>67</v>
      </c>
      <c r="E45" s="12" t="s">
        <v>57</v>
      </c>
      <c r="F45" s="12" t="s">
        <v>141</v>
      </c>
      <c r="G45" s="14" t="s">
        <v>32</v>
      </c>
      <c r="H45" s="12" t="s">
        <v>129</v>
      </c>
      <c r="I45" s="12" t="s">
        <v>149</v>
      </c>
      <c r="J45" s="12" t="s">
        <v>160</v>
      </c>
      <c r="K45" s="20">
        <v>45010</v>
      </c>
      <c r="L45" s="21">
        <v>50</v>
      </c>
      <c r="M45" s="21">
        <v>6</v>
      </c>
      <c r="N45" s="12">
        <v>6300</v>
      </c>
    </row>
    <row r="46" ht="18" spans="1:14">
      <c r="A46" s="12">
        <v>45</v>
      </c>
      <c r="B46" s="12">
        <v>1</v>
      </c>
      <c r="C46" s="13" t="s">
        <v>197</v>
      </c>
      <c r="D46" s="14" t="s">
        <v>29</v>
      </c>
      <c r="E46" s="12" t="s">
        <v>57</v>
      </c>
      <c r="F46" s="12" t="s">
        <v>141</v>
      </c>
      <c r="G46" s="14" t="s">
        <v>178</v>
      </c>
      <c r="H46" s="12" t="s">
        <v>129</v>
      </c>
      <c r="I46" s="12" t="s">
        <v>149</v>
      </c>
      <c r="J46" s="12" t="s">
        <v>150</v>
      </c>
      <c r="K46" s="20">
        <v>45025</v>
      </c>
      <c r="L46" s="21">
        <v>50</v>
      </c>
      <c r="M46" s="21">
        <v>6</v>
      </c>
      <c r="N46" s="12">
        <v>6300</v>
      </c>
    </row>
    <row r="47" ht="18" spans="1:14">
      <c r="A47" s="12">
        <v>46</v>
      </c>
      <c r="B47" s="12">
        <v>1</v>
      </c>
      <c r="C47" s="13" t="s">
        <v>198</v>
      </c>
      <c r="D47" s="14" t="s">
        <v>67</v>
      </c>
      <c r="E47" s="12" t="s">
        <v>30</v>
      </c>
      <c r="F47" s="12" t="s">
        <v>134</v>
      </c>
      <c r="G47" s="14" t="s">
        <v>199</v>
      </c>
      <c r="H47" s="12" t="s">
        <v>33</v>
      </c>
      <c r="I47" s="12" t="s">
        <v>149</v>
      </c>
      <c r="J47" s="12" t="s">
        <v>150</v>
      </c>
      <c r="K47" s="20">
        <v>45027</v>
      </c>
      <c r="L47" s="21">
        <v>18</v>
      </c>
      <c r="M47" s="21">
        <v>0</v>
      </c>
      <c r="N47" s="12">
        <v>1580</v>
      </c>
    </row>
    <row r="48" ht="18" spans="1:14">
      <c r="A48" s="12">
        <v>47</v>
      </c>
      <c r="B48" s="12">
        <v>1</v>
      </c>
      <c r="C48" s="13" t="s">
        <v>200</v>
      </c>
      <c r="D48" s="14" t="s">
        <v>67</v>
      </c>
      <c r="E48" s="12" t="s">
        <v>57</v>
      </c>
      <c r="F48" s="12" t="s">
        <v>127</v>
      </c>
      <c r="G48" s="14" t="s">
        <v>158</v>
      </c>
      <c r="H48" s="12" t="s">
        <v>33</v>
      </c>
      <c r="I48" s="12" t="s">
        <v>130</v>
      </c>
      <c r="J48" s="12" t="s">
        <v>131</v>
      </c>
      <c r="K48" s="20">
        <v>45032</v>
      </c>
      <c r="L48" s="21">
        <v>18</v>
      </c>
      <c r="M48" s="21">
        <v>0</v>
      </c>
      <c r="N48" s="12">
        <v>1580</v>
      </c>
    </row>
    <row r="49" ht="18" spans="1:14">
      <c r="A49" s="12">
        <v>48</v>
      </c>
      <c r="B49" s="12">
        <v>1</v>
      </c>
      <c r="C49" s="13" t="s">
        <v>201</v>
      </c>
      <c r="D49" s="14" t="s">
        <v>67</v>
      </c>
      <c r="E49" s="12" t="s">
        <v>30</v>
      </c>
      <c r="F49" s="12" t="s">
        <v>127</v>
      </c>
      <c r="G49" s="14" t="s">
        <v>158</v>
      </c>
      <c r="H49" s="12" t="s">
        <v>33</v>
      </c>
      <c r="I49" s="12" t="s">
        <v>130</v>
      </c>
      <c r="J49" s="12" t="s">
        <v>131</v>
      </c>
      <c r="K49" s="20">
        <v>45034</v>
      </c>
      <c r="L49" s="21">
        <v>18</v>
      </c>
      <c r="M49" s="21">
        <v>0</v>
      </c>
      <c r="N49" s="12">
        <v>1580</v>
      </c>
    </row>
    <row r="50" ht="18" spans="1:14">
      <c r="A50" s="12">
        <v>49</v>
      </c>
      <c r="B50" s="12">
        <v>1</v>
      </c>
      <c r="C50" s="13" t="s">
        <v>202</v>
      </c>
      <c r="D50" s="14" t="s">
        <v>67</v>
      </c>
      <c r="E50" s="12" t="s">
        <v>30</v>
      </c>
      <c r="F50" s="12" t="s">
        <v>141</v>
      </c>
      <c r="G50" s="14" t="s">
        <v>203</v>
      </c>
      <c r="H50" s="12" t="s">
        <v>33</v>
      </c>
      <c r="I50" s="12" t="s">
        <v>143</v>
      </c>
      <c r="J50" s="12" t="s">
        <v>204</v>
      </c>
      <c r="K50" s="20">
        <v>45037</v>
      </c>
      <c r="L50" s="21">
        <v>18</v>
      </c>
      <c r="M50" s="21">
        <v>0</v>
      </c>
      <c r="N50" s="12">
        <v>1580</v>
      </c>
    </row>
    <row r="51" ht="18" spans="1:14">
      <c r="A51" s="12">
        <v>50</v>
      </c>
      <c r="B51" s="12">
        <v>1</v>
      </c>
      <c r="C51" s="13" t="s">
        <v>205</v>
      </c>
      <c r="D51" s="14" t="s">
        <v>67</v>
      </c>
      <c r="E51" s="12" t="s">
        <v>157</v>
      </c>
      <c r="F51" s="12" t="s">
        <v>134</v>
      </c>
      <c r="G51" s="14" t="s">
        <v>199</v>
      </c>
      <c r="H51" s="12" t="s">
        <v>33</v>
      </c>
      <c r="I51" s="12" t="s">
        <v>149</v>
      </c>
      <c r="J51" s="12" t="s">
        <v>150</v>
      </c>
      <c r="K51" s="20">
        <v>45037</v>
      </c>
      <c r="L51" s="21">
        <v>18</v>
      </c>
      <c r="M51" s="21">
        <v>0</v>
      </c>
      <c r="N51" s="12">
        <v>1580</v>
      </c>
    </row>
    <row r="52" ht="18" spans="1:14">
      <c r="A52" s="12">
        <v>51</v>
      </c>
      <c r="B52" s="12">
        <v>1</v>
      </c>
      <c r="C52" s="13" t="s">
        <v>206</v>
      </c>
      <c r="D52" s="14" t="s">
        <v>67</v>
      </c>
      <c r="E52" s="12" t="s">
        <v>30</v>
      </c>
      <c r="F52" s="12" t="s">
        <v>141</v>
      </c>
      <c r="G52" s="14" t="s">
        <v>203</v>
      </c>
      <c r="H52" s="12" t="s">
        <v>33</v>
      </c>
      <c r="I52" s="12" t="s">
        <v>143</v>
      </c>
      <c r="J52" s="12" t="s">
        <v>207</v>
      </c>
      <c r="K52" s="20">
        <v>45040</v>
      </c>
      <c r="L52" s="21">
        <v>18</v>
      </c>
      <c r="M52" s="21">
        <v>0</v>
      </c>
      <c r="N52" s="12">
        <v>1580</v>
      </c>
    </row>
    <row r="53" ht="18" spans="1:14">
      <c r="A53" s="12">
        <v>52</v>
      </c>
      <c r="B53" s="12">
        <v>1</v>
      </c>
      <c r="C53" s="13" t="s">
        <v>208</v>
      </c>
      <c r="D53" s="14" t="s">
        <v>67</v>
      </c>
      <c r="E53" s="12" t="s">
        <v>30</v>
      </c>
      <c r="F53" s="12" t="s">
        <v>141</v>
      </c>
      <c r="G53" s="14" t="s">
        <v>203</v>
      </c>
      <c r="H53" s="12" t="s">
        <v>33</v>
      </c>
      <c r="I53" s="12" t="s">
        <v>143</v>
      </c>
      <c r="J53" s="12" t="s">
        <v>207</v>
      </c>
      <c r="K53" s="20">
        <v>45040</v>
      </c>
      <c r="L53" s="21">
        <v>18</v>
      </c>
      <c r="M53" s="21">
        <v>0</v>
      </c>
      <c r="N53" s="12">
        <v>1580</v>
      </c>
    </row>
    <row r="54" ht="18" spans="1:14">
      <c r="A54" s="12">
        <v>53</v>
      </c>
      <c r="B54" s="12">
        <v>1</v>
      </c>
      <c r="C54" s="13" t="s">
        <v>209</v>
      </c>
      <c r="D54" s="14" t="s">
        <v>67</v>
      </c>
      <c r="E54" s="12" t="s">
        <v>30</v>
      </c>
      <c r="F54" s="12" t="s">
        <v>141</v>
      </c>
      <c r="G54" s="14" t="s">
        <v>203</v>
      </c>
      <c r="H54" s="12" t="s">
        <v>33</v>
      </c>
      <c r="I54" s="12" t="s">
        <v>143</v>
      </c>
      <c r="J54" s="12" t="s">
        <v>207</v>
      </c>
      <c r="K54" s="20">
        <v>45040</v>
      </c>
      <c r="L54" s="21">
        <v>18</v>
      </c>
      <c r="M54" s="21">
        <v>0</v>
      </c>
      <c r="N54" s="12">
        <v>1580</v>
      </c>
    </row>
    <row r="55" ht="18" spans="1:14">
      <c r="A55" s="12">
        <v>54</v>
      </c>
      <c r="B55" s="12">
        <v>1</v>
      </c>
      <c r="C55" s="13" t="s">
        <v>210</v>
      </c>
      <c r="D55" s="14" t="s">
        <v>67</v>
      </c>
      <c r="E55" s="12" t="s">
        <v>30</v>
      </c>
      <c r="F55" s="12" t="s">
        <v>127</v>
      </c>
      <c r="G55" s="14" t="s">
        <v>211</v>
      </c>
      <c r="H55" s="12" t="s">
        <v>33</v>
      </c>
      <c r="I55" s="12" t="s">
        <v>130</v>
      </c>
      <c r="J55" s="12" t="s">
        <v>131</v>
      </c>
      <c r="K55" s="20">
        <v>45041</v>
      </c>
      <c r="L55" s="21">
        <v>18</v>
      </c>
      <c r="M55" s="21">
        <v>0</v>
      </c>
      <c r="N55" s="12">
        <v>2370</v>
      </c>
    </row>
    <row r="56" ht="18" spans="1:14">
      <c r="A56" s="12">
        <v>55</v>
      </c>
      <c r="B56" s="12">
        <v>1</v>
      </c>
      <c r="C56" s="13" t="s">
        <v>212</v>
      </c>
      <c r="D56" s="14" t="s">
        <v>67</v>
      </c>
      <c r="E56" s="12" t="s">
        <v>30</v>
      </c>
      <c r="F56" s="12" t="s">
        <v>127</v>
      </c>
      <c r="G56" s="14" t="s">
        <v>211</v>
      </c>
      <c r="H56" s="12" t="s">
        <v>33</v>
      </c>
      <c r="I56" s="12" t="s">
        <v>130</v>
      </c>
      <c r="J56" s="12" t="s">
        <v>131</v>
      </c>
      <c r="K56" s="20">
        <v>45041</v>
      </c>
      <c r="L56" s="21">
        <v>18</v>
      </c>
      <c r="M56" s="21">
        <v>0</v>
      </c>
      <c r="N56" s="12">
        <v>2370</v>
      </c>
    </row>
    <row r="57" ht="18" spans="1:14">
      <c r="A57" s="12">
        <v>56</v>
      </c>
      <c r="B57" s="12">
        <v>1</v>
      </c>
      <c r="C57" s="13" t="s">
        <v>213</v>
      </c>
      <c r="D57" s="14" t="s">
        <v>67</v>
      </c>
      <c r="E57" s="12" t="s">
        <v>30</v>
      </c>
      <c r="F57" s="12" t="s">
        <v>127</v>
      </c>
      <c r="G57" s="14" t="s">
        <v>211</v>
      </c>
      <c r="H57" s="12" t="s">
        <v>33</v>
      </c>
      <c r="I57" s="12" t="s">
        <v>130</v>
      </c>
      <c r="J57" s="12" t="s">
        <v>131</v>
      </c>
      <c r="K57" s="20">
        <v>45041</v>
      </c>
      <c r="L57" s="21">
        <v>18</v>
      </c>
      <c r="M57" s="21">
        <v>0</v>
      </c>
      <c r="N57" s="12">
        <v>2370</v>
      </c>
    </row>
    <row r="58" ht="18" spans="1:14">
      <c r="A58" s="12">
        <v>57</v>
      </c>
      <c r="B58" s="12">
        <v>1</v>
      </c>
      <c r="C58" s="13" t="s">
        <v>214</v>
      </c>
      <c r="D58" s="14" t="s">
        <v>67</v>
      </c>
      <c r="E58" s="12" t="s">
        <v>30</v>
      </c>
      <c r="F58" s="12" t="s">
        <v>141</v>
      </c>
      <c r="G58" s="14" t="s">
        <v>203</v>
      </c>
      <c r="H58" s="12" t="s">
        <v>33</v>
      </c>
      <c r="I58" s="12" t="s">
        <v>143</v>
      </c>
      <c r="J58" s="12" t="s">
        <v>215</v>
      </c>
      <c r="K58" s="20">
        <v>45041</v>
      </c>
      <c r="L58" s="21">
        <v>18</v>
      </c>
      <c r="M58" s="21">
        <v>0</v>
      </c>
      <c r="N58" s="12">
        <v>1580</v>
      </c>
    </row>
    <row r="59" ht="18" spans="1:14">
      <c r="A59" s="12">
        <v>58</v>
      </c>
      <c r="B59" s="12">
        <v>1</v>
      </c>
      <c r="C59" s="13" t="s">
        <v>216</v>
      </c>
      <c r="D59" s="14" t="s">
        <v>67</v>
      </c>
      <c r="E59" s="12" t="s">
        <v>30</v>
      </c>
      <c r="F59" s="12" t="s">
        <v>134</v>
      </c>
      <c r="G59" s="14" t="s">
        <v>178</v>
      </c>
      <c r="H59" s="12" t="s">
        <v>33</v>
      </c>
      <c r="I59" s="12" t="s">
        <v>167</v>
      </c>
      <c r="J59" s="12" t="s">
        <v>137</v>
      </c>
      <c r="K59" s="20">
        <v>45041</v>
      </c>
      <c r="L59" s="21">
        <v>18</v>
      </c>
      <c r="M59" s="21">
        <v>0</v>
      </c>
      <c r="N59" s="12">
        <v>1580</v>
      </c>
    </row>
    <row r="60" ht="18" spans="1:14">
      <c r="A60" s="12">
        <v>59</v>
      </c>
      <c r="B60" s="12">
        <v>1</v>
      </c>
      <c r="C60" s="13" t="s">
        <v>217</v>
      </c>
      <c r="D60" s="14" t="s">
        <v>67</v>
      </c>
      <c r="E60" s="12" t="s">
        <v>30</v>
      </c>
      <c r="F60" s="12" t="s">
        <v>127</v>
      </c>
      <c r="G60" s="14" t="s">
        <v>158</v>
      </c>
      <c r="H60" s="12" t="s">
        <v>33</v>
      </c>
      <c r="I60" s="12" t="s">
        <v>130</v>
      </c>
      <c r="J60" s="12" t="s">
        <v>137</v>
      </c>
      <c r="K60" s="20">
        <v>45048</v>
      </c>
      <c r="L60" s="21">
        <v>18</v>
      </c>
      <c r="M60" s="21">
        <v>0</v>
      </c>
      <c r="N60" s="12">
        <v>1580</v>
      </c>
    </row>
    <row r="61" ht="18" spans="1:14">
      <c r="A61" s="12">
        <v>60</v>
      </c>
      <c r="B61" s="12">
        <v>1</v>
      </c>
      <c r="C61" s="13" t="s">
        <v>218</v>
      </c>
      <c r="D61" s="14" t="s">
        <v>67</v>
      </c>
      <c r="E61" s="12" t="s">
        <v>30</v>
      </c>
      <c r="F61" s="12" t="s">
        <v>141</v>
      </c>
      <c r="G61" s="14" t="s">
        <v>178</v>
      </c>
      <c r="H61" s="12" t="s">
        <v>129</v>
      </c>
      <c r="I61" s="12" t="s">
        <v>149</v>
      </c>
      <c r="J61" s="12" t="s">
        <v>219</v>
      </c>
      <c r="K61" s="20">
        <v>45048</v>
      </c>
      <c r="L61" s="21">
        <v>25</v>
      </c>
      <c r="M61" s="21">
        <v>4</v>
      </c>
      <c r="N61" s="12">
        <v>3325</v>
      </c>
    </row>
    <row r="62" ht="18" spans="1:14">
      <c r="A62" s="12">
        <v>61</v>
      </c>
      <c r="B62" s="12">
        <v>1</v>
      </c>
      <c r="C62" s="13" t="s">
        <v>220</v>
      </c>
      <c r="D62" s="14" t="s">
        <v>29</v>
      </c>
      <c r="E62" s="12" t="s">
        <v>30</v>
      </c>
      <c r="F62" s="12" t="s">
        <v>141</v>
      </c>
      <c r="G62" s="14" t="s">
        <v>203</v>
      </c>
      <c r="H62" s="12" t="s">
        <v>33</v>
      </c>
      <c r="I62" s="12" t="s">
        <v>143</v>
      </c>
      <c r="J62" s="12" t="s">
        <v>215</v>
      </c>
      <c r="K62" s="20">
        <v>45052</v>
      </c>
      <c r="L62" s="21">
        <v>18</v>
      </c>
      <c r="M62" s="21">
        <v>0</v>
      </c>
      <c r="N62" s="12">
        <v>1500</v>
      </c>
    </row>
    <row r="63" ht="18" spans="1:14">
      <c r="A63" s="12">
        <v>62</v>
      </c>
      <c r="B63" s="12">
        <v>1</v>
      </c>
      <c r="C63" s="13" t="s">
        <v>221</v>
      </c>
      <c r="D63" s="14" t="s">
        <v>67</v>
      </c>
      <c r="E63" s="12" t="s">
        <v>30</v>
      </c>
      <c r="F63" s="12" t="s">
        <v>134</v>
      </c>
      <c r="G63" s="14" t="s">
        <v>178</v>
      </c>
      <c r="H63" s="12" t="s">
        <v>33</v>
      </c>
      <c r="I63" s="12" t="s">
        <v>167</v>
      </c>
      <c r="J63" s="12" t="s">
        <v>137</v>
      </c>
      <c r="K63" s="20">
        <v>45053</v>
      </c>
      <c r="L63" s="21">
        <v>18</v>
      </c>
      <c r="M63" s="21">
        <v>0</v>
      </c>
      <c r="N63" s="12">
        <v>1580</v>
      </c>
    </row>
    <row r="64" ht="18" spans="1:14">
      <c r="A64" s="12">
        <v>63</v>
      </c>
      <c r="B64" s="12">
        <v>1</v>
      </c>
      <c r="C64" s="13" t="s">
        <v>222</v>
      </c>
      <c r="D64" s="14" t="s">
        <v>67</v>
      </c>
      <c r="E64" s="12" t="s">
        <v>30</v>
      </c>
      <c r="F64" s="12" t="s">
        <v>134</v>
      </c>
      <c r="G64" s="14" t="s">
        <v>178</v>
      </c>
      <c r="H64" s="12" t="s">
        <v>33</v>
      </c>
      <c r="I64" s="12" t="s">
        <v>167</v>
      </c>
      <c r="J64" s="12" t="s">
        <v>137</v>
      </c>
      <c r="K64" s="20">
        <v>45054</v>
      </c>
      <c r="L64" s="21">
        <v>18</v>
      </c>
      <c r="M64" s="21">
        <v>0</v>
      </c>
      <c r="N64" s="12">
        <v>1580</v>
      </c>
    </row>
    <row r="65" ht="18" spans="1:14">
      <c r="A65" s="24">
        <v>64</v>
      </c>
      <c r="B65" s="24">
        <v>1</v>
      </c>
      <c r="C65" s="25" t="s">
        <v>223</v>
      </c>
      <c r="D65" s="26" t="s">
        <v>67</v>
      </c>
      <c r="E65" s="24" t="s">
        <v>30</v>
      </c>
      <c r="F65" s="24" t="s">
        <v>141</v>
      </c>
      <c r="G65" s="26" t="s">
        <v>224</v>
      </c>
      <c r="H65" s="24" t="s">
        <v>33</v>
      </c>
      <c r="I65" s="24" t="s">
        <v>149</v>
      </c>
      <c r="J65" s="24" t="s">
        <v>160</v>
      </c>
      <c r="K65" s="33">
        <v>45054</v>
      </c>
      <c r="L65" s="34">
        <v>18</v>
      </c>
      <c r="M65" s="34">
        <v>0</v>
      </c>
      <c r="N65" s="24">
        <v>1580</v>
      </c>
    </row>
    <row r="66" ht="18" spans="1:14">
      <c r="A66" s="24">
        <v>65</v>
      </c>
      <c r="B66" s="24">
        <v>1</v>
      </c>
      <c r="C66" s="25" t="s">
        <v>225</v>
      </c>
      <c r="D66" s="26" t="s">
        <v>67</v>
      </c>
      <c r="E66" s="24" t="s">
        <v>30</v>
      </c>
      <c r="F66" s="24" t="s">
        <v>141</v>
      </c>
      <c r="G66" s="26" t="s">
        <v>224</v>
      </c>
      <c r="H66" s="24" t="s">
        <v>33</v>
      </c>
      <c r="I66" s="24" t="s">
        <v>149</v>
      </c>
      <c r="J66" s="24" t="s">
        <v>219</v>
      </c>
      <c r="K66" s="33">
        <v>45057</v>
      </c>
      <c r="L66" s="34">
        <v>18</v>
      </c>
      <c r="M66" s="34">
        <v>0</v>
      </c>
      <c r="N66" s="24">
        <v>1580</v>
      </c>
    </row>
    <row r="67" ht="18" spans="1:14">
      <c r="A67" s="12">
        <v>66</v>
      </c>
      <c r="B67" s="12">
        <v>1</v>
      </c>
      <c r="C67" s="13" t="s">
        <v>226</v>
      </c>
      <c r="D67" s="12" t="s">
        <v>67</v>
      </c>
      <c r="E67" s="12" t="s">
        <v>30</v>
      </c>
      <c r="F67" s="12" t="s">
        <v>141</v>
      </c>
      <c r="G67" s="12" t="s">
        <v>224</v>
      </c>
      <c r="H67" s="12" t="s">
        <v>33</v>
      </c>
      <c r="I67" s="12" t="s">
        <v>149</v>
      </c>
      <c r="J67" s="12" t="s">
        <v>219</v>
      </c>
      <c r="K67" s="20">
        <v>45059</v>
      </c>
      <c r="L67" s="21">
        <v>18</v>
      </c>
      <c r="M67" s="21">
        <v>0</v>
      </c>
      <c r="N67" s="12">
        <v>1580</v>
      </c>
    </row>
    <row r="68" ht="18" spans="1:14">
      <c r="A68" s="12">
        <v>67</v>
      </c>
      <c r="B68" s="12">
        <v>1</v>
      </c>
      <c r="C68" s="13" t="s">
        <v>227</v>
      </c>
      <c r="D68" s="12" t="s">
        <v>67</v>
      </c>
      <c r="E68" s="12" t="s">
        <v>30</v>
      </c>
      <c r="F68" s="12" t="s">
        <v>134</v>
      </c>
      <c r="G68" s="12" t="s">
        <v>224</v>
      </c>
      <c r="H68" s="12" t="s">
        <v>33</v>
      </c>
      <c r="I68" s="12" t="s">
        <v>149</v>
      </c>
      <c r="J68" s="12" t="s">
        <v>150</v>
      </c>
      <c r="K68" s="20">
        <v>45059</v>
      </c>
      <c r="L68" s="21">
        <v>18</v>
      </c>
      <c r="M68" s="21">
        <v>0</v>
      </c>
      <c r="N68" s="12">
        <v>1580</v>
      </c>
    </row>
    <row r="69" ht="18" spans="1:14">
      <c r="A69" s="12">
        <v>68</v>
      </c>
      <c r="B69" s="12">
        <v>1</v>
      </c>
      <c r="C69" s="13" t="s">
        <v>228</v>
      </c>
      <c r="D69" s="12" t="s">
        <v>67</v>
      </c>
      <c r="E69" s="12" t="s">
        <v>30</v>
      </c>
      <c r="F69" s="12" t="s">
        <v>141</v>
      </c>
      <c r="G69" s="12" t="s">
        <v>224</v>
      </c>
      <c r="H69" s="12" t="s">
        <v>33</v>
      </c>
      <c r="I69" s="12" t="s">
        <v>149</v>
      </c>
      <c r="J69" s="12" t="s">
        <v>219</v>
      </c>
      <c r="K69" s="20">
        <v>45057</v>
      </c>
      <c r="L69" s="21">
        <v>18</v>
      </c>
      <c r="M69" s="21">
        <v>0</v>
      </c>
      <c r="N69" s="12">
        <v>1580</v>
      </c>
    </row>
    <row r="70" ht="18" spans="1:14">
      <c r="A70" s="12">
        <v>69</v>
      </c>
      <c r="B70" s="27">
        <v>1</v>
      </c>
      <c r="C70" s="28" t="s">
        <v>229</v>
      </c>
      <c r="D70" s="27" t="s">
        <v>67</v>
      </c>
      <c r="E70" s="27" t="s">
        <v>30</v>
      </c>
      <c r="F70" s="27" t="s">
        <v>32</v>
      </c>
      <c r="G70" s="27" t="s">
        <v>32</v>
      </c>
      <c r="H70" s="12" t="s">
        <v>33</v>
      </c>
      <c r="I70" s="12" t="s">
        <v>130</v>
      </c>
      <c r="J70" s="27" t="s">
        <v>131</v>
      </c>
      <c r="K70" s="35">
        <v>45059</v>
      </c>
      <c r="L70" s="36">
        <v>18</v>
      </c>
      <c r="M70" s="36">
        <v>0</v>
      </c>
      <c r="N70" s="27">
        <v>0</v>
      </c>
    </row>
    <row r="71" ht="18" spans="1:14">
      <c r="A71" s="14">
        <v>70</v>
      </c>
      <c r="B71" s="14">
        <v>1</v>
      </c>
      <c r="C71" s="29" t="s">
        <v>230</v>
      </c>
      <c r="D71" s="14" t="s">
        <v>67</v>
      </c>
      <c r="E71" s="14" t="s">
        <v>30</v>
      </c>
      <c r="F71" s="14" t="s">
        <v>141</v>
      </c>
      <c r="G71" s="12" t="s">
        <v>224</v>
      </c>
      <c r="H71" s="12" t="s">
        <v>33</v>
      </c>
      <c r="I71" s="12" t="s">
        <v>149</v>
      </c>
      <c r="J71" s="14" t="s">
        <v>231</v>
      </c>
      <c r="K71" s="20">
        <v>45063</v>
      </c>
      <c r="L71" s="21">
        <v>18</v>
      </c>
      <c r="M71" s="21">
        <v>0</v>
      </c>
      <c r="N71" s="12">
        <v>1580</v>
      </c>
    </row>
    <row r="72" ht="18" spans="1:14">
      <c r="A72" s="14">
        <v>71</v>
      </c>
      <c r="B72" s="14">
        <v>1</v>
      </c>
      <c r="C72" s="29" t="s">
        <v>232</v>
      </c>
      <c r="D72" s="14" t="s">
        <v>67</v>
      </c>
      <c r="E72" s="14" t="s">
        <v>30</v>
      </c>
      <c r="F72" s="14" t="s">
        <v>141</v>
      </c>
      <c r="G72" s="14" t="s">
        <v>203</v>
      </c>
      <c r="H72" s="12" t="s">
        <v>33</v>
      </c>
      <c r="I72" s="12" t="s">
        <v>143</v>
      </c>
      <c r="J72" s="14" t="s">
        <v>233</v>
      </c>
      <c r="K72" s="20">
        <v>45065</v>
      </c>
      <c r="L72" s="21">
        <v>18</v>
      </c>
      <c r="M72" s="21">
        <v>0</v>
      </c>
      <c r="N72" s="12">
        <v>1580</v>
      </c>
    </row>
    <row r="73" ht="18" spans="1:14">
      <c r="A73" s="14">
        <v>72</v>
      </c>
      <c r="B73" s="14">
        <v>1</v>
      </c>
      <c r="C73" s="29" t="s">
        <v>234</v>
      </c>
      <c r="D73" s="14" t="s">
        <v>67</v>
      </c>
      <c r="E73" s="14" t="s">
        <v>30</v>
      </c>
      <c r="F73" s="14" t="s">
        <v>141</v>
      </c>
      <c r="G73" s="12" t="s">
        <v>224</v>
      </c>
      <c r="H73" s="12" t="s">
        <v>33</v>
      </c>
      <c r="I73" s="12" t="s">
        <v>149</v>
      </c>
      <c r="J73" s="14" t="s">
        <v>235</v>
      </c>
      <c r="K73" s="20">
        <v>45065</v>
      </c>
      <c r="L73" s="21">
        <v>18</v>
      </c>
      <c r="M73" s="21">
        <v>0</v>
      </c>
      <c r="N73" s="12">
        <v>1580</v>
      </c>
    </row>
    <row r="74" ht="18" spans="1:14">
      <c r="A74" s="14">
        <v>73</v>
      </c>
      <c r="B74" s="14">
        <v>1</v>
      </c>
      <c r="C74" s="29" t="s">
        <v>236</v>
      </c>
      <c r="D74" s="14" t="s">
        <v>67</v>
      </c>
      <c r="E74" s="14" t="s">
        <v>57</v>
      </c>
      <c r="F74" s="14" t="s">
        <v>127</v>
      </c>
      <c r="G74" s="14" t="s">
        <v>152</v>
      </c>
      <c r="H74" s="14" t="s">
        <v>129</v>
      </c>
      <c r="I74" s="14" t="s">
        <v>130</v>
      </c>
      <c r="J74" s="14" t="s">
        <v>131</v>
      </c>
      <c r="K74" s="20">
        <v>45066</v>
      </c>
      <c r="L74" s="37">
        <v>25</v>
      </c>
      <c r="M74" s="37">
        <v>0</v>
      </c>
      <c r="N74" s="14">
        <v>3800</v>
      </c>
    </row>
    <row r="75" ht="18" spans="1:14">
      <c r="A75" s="14">
        <v>74</v>
      </c>
      <c r="B75" s="14">
        <v>1</v>
      </c>
      <c r="C75" s="29" t="s">
        <v>237</v>
      </c>
      <c r="D75" s="14" t="s">
        <v>67</v>
      </c>
      <c r="E75" s="14" t="s">
        <v>30</v>
      </c>
      <c r="F75" s="14" t="s">
        <v>134</v>
      </c>
      <c r="G75" s="14" t="s">
        <v>178</v>
      </c>
      <c r="H75" s="14" t="s">
        <v>33</v>
      </c>
      <c r="I75" s="14" t="s">
        <v>167</v>
      </c>
      <c r="J75" s="14" t="s">
        <v>137</v>
      </c>
      <c r="K75" s="20">
        <v>45067</v>
      </c>
      <c r="L75" s="37">
        <v>18</v>
      </c>
      <c r="M75" s="37">
        <v>0</v>
      </c>
      <c r="N75" s="14">
        <v>1580</v>
      </c>
    </row>
    <row r="76" ht="18" spans="1:14">
      <c r="A76" s="14">
        <v>75</v>
      </c>
      <c r="B76" s="14">
        <v>1</v>
      </c>
      <c r="C76" s="29" t="s">
        <v>238</v>
      </c>
      <c r="D76" s="14" t="s">
        <v>67</v>
      </c>
      <c r="E76" s="14" t="s">
        <v>30</v>
      </c>
      <c r="F76" s="14" t="s">
        <v>134</v>
      </c>
      <c r="G76" s="14" t="s">
        <v>239</v>
      </c>
      <c r="H76" s="12" t="s">
        <v>33</v>
      </c>
      <c r="I76" s="12" t="s">
        <v>149</v>
      </c>
      <c r="J76" s="14" t="s">
        <v>219</v>
      </c>
      <c r="K76" s="20">
        <v>45068</v>
      </c>
      <c r="L76" s="37">
        <v>18</v>
      </c>
      <c r="M76" s="37">
        <v>0</v>
      </c>
      <c r="N76" s="14">
        <v>1580</v>
      </c>
    </row>
    <row r="77" ht="36" spans="1:14">
      <c r="A77" s="14">
        <v>76</v>
      </c>
      <c r="B77" s="14">
        <v>1</v>
      </c>
      <c r="C77" s="29" t="s">
        <v>240</v>
      </c>
      <c r="D77" s="14" t="s">
        <v>67</v>
      </c>
      <c r="E77" s="14" t="s">
        <v>30</v>
      </c>
      <c r="F77" s="14" t="s">
        <v>134</v>
      </c>
      <c r="G77" s="14" t="s">
        <v>239</v>
      </c>
      <c r="H77" s="12" t="s">
        <v>33</v>
      </c>
      <c r="I77" s="12" t="s">
        <v>149</v>
      </c>
      <c r="J77" s="29" t="s">
        <v>219</v>
      </c>
      <c r="K77" s="20">
        <v>45068</v>
      </c>
      <c r="L77" s="37">
        <v>18</v>
      </c>
      <c r="M77" s="37">
        <v>0</v>
      </c>
      <c r="N77" s="14">
        <v>1500</v>
      </c>
    </row>
    <row r="78" ht="18" spans="1:14">
      <c r="A78" s="14">
        <v>77</v>
      </c>
      <c r="B78" s="14">
        <v>1</v>
      </c>
      <c r="C78" s="29" t="s">
        <v>241</v>
      </c>
      <c r="D78" s="14" t="s">
        <v>67</v>
      </c>
      <c r="E78" s="14"/>
      <c r="F78" s="14" t="s">
        <v>141</v>
      </c>
      <c r="G78" s="12" t="s">
        <v>224</v>
      </c>
      <c r="H78" s="12" t="s">
        <v>33</v>
      </c>
      <c r="I78" s="12" t="s">
        <v>149</v>
      </c>
      <c r="J78" s="14" t="s">
        <v>150</v>
      </c>
      <c r="K78" s="20">
        <v>45068</v>
      </c>
      <c r="L78" s="37">
        <v>18</v>
      </c>
      <c r="M78" s="37">
        <v>0</v>
      </c>
      <c r="N78" s="14">
        <v>1400</v>
      </c>
    </row>
    <row r="79" ht="36" spans="1:14">
      <c r="A79" s="14">
        <v>78</v>
      </c>
      <c r="B79" s="14">
        <v>1</v>
      </c>
      <c r="C79" s="29" t="s">
        <v>242</v>
      </c>
      <c r="D79" s="14" t="s">
        <v>67</v>
      </c>
      <c r="E79" s="14"/>
      <c r="F79" s="14" t="s">
        <v>141</v>
      </c>
      <c r="G79" s="12" t="s">
        <v>224</v>
      </c>
      <c r="H79" s="12" t="s">
        <v>33</v>
      </c>
      <c r="I79" s="12" t="s">
        <v>149</v>
      </c>
      <c r="J79" s="29" t="s">
        <v>243</v>
      </c>
      <c r="K79" s="20">
        <v>45068</v>
      </c>
      <c r="L79" s="37">
        <v>18</v>
      </c>
      <c r="M79" s="37">
        <v>0</v>
      </c>
      <c r="N79" s="14">
        <v>1500</v>
      </c>
    </row>
    <row r="80" ht="18" spans="1:14">
      <c r="A80" s="14">
        <v>79</v>
      </c>
      <c r="B80" s="14">
        <v>1</v>
      </c>
      <c r="C80" s="29" t="s">
        <v>244</v>
      </c>
      <c r="D80" s="14" t="s">
        <v>67</v>
      </c>
      <c r="E80" s="14" t="s">
        <v>90</v>
      </c>
      <c r="F80" s="14" t="s">
        <v>141</v>
      </c>
      <c r="G80" s="12" t="s">
        <v>176</v>
      </c>
      <c r="H80" s="12" t="s">
        <v>129</v>
      </c>
      <c r="I80" s="12" t="s">
        <v>149</v>
      </c>
      <c r="J80" s="14" t="s">
        <v>235</v>
      </c>
      <c r="K80" s="20">
        <v>45068</v>
      </c>
      <c r="L80" s="37">
        <v>25</v>
      </c>
      <c r="M80" s="37">
        <v>4</v>
      </c>
      <c r="N80" s="14">
        <v>3325</v>
      </c>
    </row>
    <row r="81" ht="18" spans="1:14">
      <c r="A81" s="30">
        <v>80</v>
      </c>
      <c r="B81" s="30">
        <v>1</v>
      </c>
      <c r="C81" s="31" t="s">
        <v>245</v>
      </c>
      <c r="D81" s="30" t="s">
        <v>67</v>
      </c>
      <c r="E81" s="30" t="s">
        <v>30</v>
      </c>
      <c r="F81" s="30" t="s">
        <v>246</v>
      </c>
      <c r="G81" s="30" t="s">
        <v>247</v>
      </c>
      <c r="H81" s="30" t="s">
        <v>33</v>
      </c>
      <c r="I81" s="30" t="s">
        <v>167</v>
      </c>
      <c r="J81" s="30" t="s">
        <v>137</v>
      </c>
      <c r="K81" s="35">
        <v>45069</v>
      </c>
      <c r="L81" s="38">
        <v>18</v>
      </c>
      <c r="M81" s="38">
        <v>0</v>
      </c>
      <c r="N81" s="30">
        <v>1580</v>
      </c>
    </row>
    <row r="82" ht="18" spans="1:14">
      <c r="A82" s="14">
        <v>81</v>
      </c>
      <c r="B82" s="14">
        <v>1</v>
      </c>
      <c r="C82" s="29" t="s">
        <v>248</v>
      </c>
      <c r="D82" s="14" t="s">
        <v>67</v>
      </c>
      <c r="E82" s="14" t="s">
        <v>30</v>
      </c>
      <c r="F82" s="14" t="s">
        <v>141</v>
      </c>
      <c r="G82" s="14" t="s">
        <v>203</v>
      </c>
      <c r="H82" s="14" t="s">
        <v>33</v>
      </c>
      <c r="I82" s="14" t="s">
        <v>143</v>
      </c>
      <c r="J82" s="14" t="s">
        <v>249</v>
      </c>
      <c r="K82" s="20">
        <v>45071</v>
      </c>
      <c r="L82" s="37">
        <v>18</v>
      </c>
      <c r="M82" s="37">
        <v>0</v>
      </c>
      <c r="N82" s="14">
        <v>1580</v>
      </c>
    </row>
    <row r="83" ht="36" spans="1:14">
      <c r="A83" s="14">
        <v>82</v>
      </c>
      <c r="B83" s="14">
        <v>1</v>
      </c>
      <c r="C83" s="29" t="s">
        <v>250</v>
      </c>
      <c r="D83" s="14" t="s">
        <v>67</v>
      </c>
      <c r="E83" s="14" t="s">
        <v>30</v>
      </c>
      <c r="F83" s="14" t="s">
        <v>141</v>
      </c>
      <c r="G83" s="14" t="s">
        <v>203</v>
      </c>
      <c r="H83" s="14" t="s">
        <v>33</v>
      </c>
      <c r="I83" s="14" t="s">
        <v>143</v>
      </c>
      <c r="J83" s="29" t="s">
        <v>251</v>
      </c>
      <c r="K83" s="20">
        <v>45071</v>
      </c>
      <c r="L83" s="37">
        <v>18</v>
      </c>
      <c r="M83" s="37">
        <v>0</v>
      </c>
      <c r="N83" s="14">
        <v>1580</v>
      </c>
    </row>
    <row r="84" ht="36" spans="1:14">
      <c r="A84" s="14">
        <v>83</v>
      </c>
      <c r="B84" s="14">
        <v>1</v>
      </c>
      <c r="C84" s="29" t="s">
        <v>252</v>
      </c>
      <c r="D84" s="14" t="s">
        <v>67</v>
      </c>
      <c r="E84" s="14" t="s">
        <v>30</v>
      </c>
      <c r="F84" s="12" t="s">
        <v>127</v>
      </c>
      <c r="G84" s="14" t="s">
        <v>253</v>
      </c>
      <c r="H84" s="14" t="s">
        <v>33</v>
      </c>
      <c r="I84" s="14" t="s">
        <v>130</v>
      </c>
      <c r="J84" s="29" t="s">
        <v>137</v>
      </c>
      <c r="K84" s="20">
        <v>45074</v>
      </c>
      <c r="L84" s="37">
        <v>18</v>
      </c>
      <c r="M84" s="37">
        <v>0</v>
      </c>
      <c r="N84" s="14">
        <v>1580</v>
      </c>
    </row>
    <row r="85" ht="36" spans="1:14">
      <c r="A85" s="14">
        <v>84</v>
      </c>
      <c r="B85" s="14">
        <v>1</v>
      </c>
      <c r="C85" s="32" t="s">
        <v>254</v>
      </c>
      <c r="D85" s="14" t="s">
        <v>67</v>
      </c>
      <c r="E85" s="14" t="s">
        <v>157</v>
      </c>
      <c r="F85" s="12" t="s">
        <v>127</v>
      </c>
      <c r="G85" s="14" t="s">
        <v>255</v>
      </c>
      <c r="H85" s="14" t="s">
        <v>33</v>
      </c>
      <c r="I85" s="14" t="s">
        <v>130</v>
      </c>
      <c r="J85" s="29" t="s">
        <v>137</v>
      </c>
      <c r="K85" s="20">
        <v>45074</v>
      </c>
      <c r="L85" s="37">
        <v>18</v>
      </c>
      <c r="M85" s="37">
        <v>0</v>
      </c>
      <c r="N85" s="14">
        <v>1580</v>
      </c>
    </row>
    <row r="86" ht="36" spans="1:14">
      <c r="A86" s="14">
        <v>85</v>
      </c>
      <c r="B86" s="14">
        <v>1</v>
      </c>
      <c r="C86" s="29" t="s">
        <v>256</v>
      </c>
      <c r="D86" s="14" t="s">
        <v>67</v>
      </c>
      <c r="E86" s="14" t="s">
        <v>257</v>
      </c>
      <c r="F86" s="14" t="s">
        <v>134</v>
      </c>
      <c r="G86" s="14" t="s">
        <v>258</v>
      </c>
      <c r="H86" s="14" t="s">
        <v>259</v>
      </c>
      <c r="I86" s="14" t="s">
        <v>149</v>
      </c>
      <c r="J86" s="29" t="s">
        <v>219</v>
      </c>
      <c r="K86" s="39">
        <v>45076</v>
      </c>
      <c r="L86" s="37">
        <v>25</v>
      </c>
      <c r="M86" s="37">
        <v>3</v>
      </c>
      <c r="N86" s="14">
        <v>3325</v>
      </c>
    </row>
    <row r="87" ht="36" spans="1:14">
      <c r="A87" s="14">
        <v>86</v>
      </c>
      <c r="B87" s="14">
        <v>1</v>
      </c>
      <c r="C87" s="29" t="s">
        <v>260</v>
      </c>
      <c r="D87" s="14" t="s">
        <v>67</v>
      </c>
      <c r="E87" s="14" t="s">
        <v>257</v>
      </c>
      <c r="F87" s="14" t="s">
        <v>134</v>
      </c>
      <c r="G87" s="14" t="s">
        <v>258</v>
      </c>
      <c r="H87" s="14" t="s">
        <v>259</v>
      </c>
      <c r="I87" s="14" t="s">
        <v>149</v>
      </c>
      <c r="J87" s="29" t="s">
        <v>261</v>
      </c>
      <c r="K87" s="39">
        <v>45076</v>
      </c>
      <c r="L87" s="37">
        <v>25</v>
      </c>
      <c r="M87" s="37">
        <v>3</v>
      </c>
      <c r="N87" s="14">
        <v>3325</v>
      </c>
    </row>
    <row r="88" ht="18" spans="1:14">
      <c r="A88" s="14">
        <v>87</v>
      </c>
      <c r="B88" s="14">
        <v>1</v>
      </c>
      <c r="C88" s="29" t="s">
        <v>262</v>
      </c>
      <c r="D88" s="14" t="s">
        <v>67</v>
      </c>
      <c r="E88" s="14" t="s">
        <v>30</v>
      </c>
      <c r="F88" s="14" t="s">
        <v>246</v>
      </c>
      <c r="G88" s="14" t="s">
        <v>247</v>
      </c>
      <c r="H88" s="14" t="s">
        <v>33</v>
      </c>
      <c r="I88" s="14" t="s">
        <v>167</v>
      </c>
      <c r="J88" s="14" t="s">
        <v>137</v>
      </c>
      <c r="K88" s="39">
        <v>45076</v>
      </c>
      <c r="L88" s="37">
        <v>18</v>
      </c>
      <c r="M88" s="37">
        <v>0</v>
      </c>
      <c r="N88" s="14">
        <v>1580</v>
      </c>
    </row>
    <row r="89" ht="18" spans="1:14">
      <c r="A89" s="14">
        <v>88</v>
      </c>
      <c r="B89" s="14">
        <v>1</v>
      </c>
      <c r="C89" s="29" t="s">
        <v>263</v>
      </c>
      <c r="D89" s="14" t="s">
        <v>67</v>
      </c>
      <c r="E89" s="14" t="s">
        <v>30</v>
      </c>
      <c r="F89" s="14" t="s">
        <v>246</v>
      </c>
      <c r="G89" s="14" t="s">
        <v>247</v>
      </c>
      <c r="H89" s="14" t="s">
        <v>33</v>
      </c>
      <c r="I89" s="14" t="s">
        <v>167</v>
      </c>
      <c r="J89" s="14" t="s">
        <v>137</v>
      </c>
      <c r="K89" s="39">
        <v>45076</v>
      </c>
      <c r="L89" s="37">
        <v>18</v>
      </c>
      <c r="M89" s="37">
        <v>0</v>
      </c>
      <c r="N89" s="14">
        <v>1580</v>
      </c>
    </row>
    <row r="90" ht="18" spans="1:14">
      <c r="A90" s="14">
        <v>89</v>
      </c>
      <c r="B90" s="14">
        <v>1</v>
      </c>
      <c r="C90" s="29" t="s">
        <v>264</v>
      </c>
      <c r="D90" s="14" t="s">
        <v>67</v>
      </c>
      <c r="E90" s="14" t="s">
        <v>30</v>
      </c>
      <c r="F90" s="14" t="s">
        <v>134</v>
      </c>
      <c r="G90" s="14" t="s">
        <v>135</v>
      </c>
      <c r="H90" s="12" t="s">
        <v>33</v>
      </c>
      <c r="I90" s="12" t="s">
        <v>149</v>
      </c>
      <c r="J90" s="14" t="s">
        <v>265</v>
      </c>
      <c r="K90" s="39">
        <v>45076</v>
      </c>
      <c r="L90" s="37">
        <v>18</v>
      </c>
      <c r="M90" s="37">
        <v>0</v>
      </c>
      <c r="N90" s="14">
        <v>1300</v>
      </c>
    </row>
    <row r="91" ht="18" spans="1:14">
      <c r="A91" s="14">
        <v>90</v>
      </c>
      <c r="B91" s="14">
        <v>1</v>
      </c>
      <c r="C91" s="29" t="s">
        <v>266</v>
      </c>
      <c r="D91" s="14" t="s">
        <v>67</v>
      </c>
      <c r="E91" s="14" t="s">
        <v>30</v>
      </c>
      <c r="F91" s="14" t="s">
        <v>134</v>
      </c>
      <c r="G91" s="14" t="s">
        <v>135</v>
      </c>
      <c r="H91" s="12" t="s">
        <v>33</v>
      </c>
      <c r="I91" s="12" t="s">
        <v>149</v>
      </c>
      <c r="J91" s="14" t="s">
        <v>265</v>
      </c>
      <c r="K91" s="39">
        <v>45076</v>
      </c>
      <c r="L91" s="37">
        <v>18</v>
      </c>
      <c r="M91" s="37">
        <v>0</v>
      </c>
      <c r="N91" s="14">
        <v>1200</v>
      </c>
    </row>
    <row r="92" ht="18" spans="1:14">
      <c r="A92" s="14">
        <v>91</v>
      </c>
      <c r="B92" s="14">
        <v>1</v>
      </c>
      <c r="C92" s="29" t="s">
        <v>267</v>
      </c>
      <c r="D92" s="14" t="s">
        <v>67</v>
      </c>
      <c r="E92" s="14" t="s">
        <v>30</v>
      </c>
      <c r="F92" s="14" t="s">
        <v>134</v>
      </c>
      <c r="G92" s="14" t="s">
        <v>135</v>
      </c>
      <c r="H92" s="12" t="s">
        <v>33</v>
      </c>
      <c r="I92" s="12" t="s">
        <v>149</v>
      </c>
      <c r="J92" s="14" t="s">
        <v>265</v>
      </c>
      <c r="K92" s="39">
        <v>45076</v>
      </c>
      <c r="L92" s="37">
        <v>18</v>
      </c>
      <c r="M92" s="37">
        <v>0</v>
      </c>
      <c r="N92" s="14">
        <v>1300</v>
      </c>
    </row>
    <row r="93" ht="18" spans="1:14">
      <c r="A93" s="14">
        <v>92</v>
      </c>
      <c r="B93" s="14">
        <v>1</v>
      </c>
      <c r="C93" s="29" t="s">
        <v>268</v>
      </c>
      <c r="D93" s="14" t="s">
        <v>67</v>
      </c>
      <c r="E93" s="14" t="s">
        <v>30</v>
      </c>
      <c r="F93" s="14" t="s">
        <v>134</v>
      </c>
      <c r="G93" s="14" t="s">
        <v>135</v>
      </c>
      <c r="H93" s="12" t="s">
        <v>33</v>
      </c>
      <c r="I93" s="12" t="s">
        <v>149</v>
      </c>
      <c r="J93" s="14" t="s">
        <v>265</v>
      </c>
      <c r="K93" s="39">
        <v>45076</v>
      </c>
      <c r="L93" s="37">
        <v>18</v>
      </c>
      <c r="M93" s="37">
        <v>0</v>
      </c>
      <c r="N93" s="14">
        <v>1200</v>
      </c>
    </row>
    <row r="94" ht="18" spans="1:14">
      <c r="A94" s="14">
        <v>93</v>
      </c>
      <c r="B94" s="14">
        <v>1</v>
      </c>
      <c r="C94" s="29" t="s">
        <v>269</v>
      </c>
      <c r="D94" s="14" t="s">
        <v>67</v>
      </c>
      <c r="E94" s="14" t="s">
        <v>30</v>
      </c>
      <c r="F94" s="14" t="s">
        <v>134</v>
      </c>
      <c r="G94" s="14" t="s">
        <v>135</v>
      </c>
      <c r="H94" s="12" t="s">
        <v>33</v>
      </c>
      <c r="I94" s="12" t="s">
        <v>149</v>
      </c>
      <c r="J94" s="14" t="s">
        <v>265</v>
      </c>
      <c r="K94" s="39">
        <v>45076</v>
      </c>
      <c r="L94" s="37">
        <v>18</v>
      </c>
      <c r="M94" s="37">
        <v>0</v>
      </c>
      <c r="N94" s="14">
        <v>1300</v>
      </c>
    </row>
    <row r="95" ht="18" spans="1:14">
      <c r="A95" s="14">
        <v>94</v>
      </c>
      <c r="B95" s="14">
        <v>1</v>
      </c>
      <c r="C95" s="29" t="s">
        <v>270</v>
      </c>
      <c r="D95" s="14" t="s">
        <v>67</v>
      </c>
      <c r="E95" s="14" t="s">
        <v>30</v>
      </c>
      <c r="F95" s="14" t="s">
        <v>134</v>
      </c>
      <c r="G95" s="14" t="s">
        <v>135</v>
      </c>
      <c r="H95" s="12" t="s">
        <v>33</v>
      </c>
      <c r="I95" s="12" t="s">
        <v>149</v>
      </c>
      <c r="J95" s="14" t="s">
        <v>265</v>
      </c>
      <c r="K95" s="39">
        <v>45076</v>
      </c>
      <c r="L95" s="37">
        <v>18</v>
      </c>
      <c r="M95" s="37">
        <v>0</v>
      </c>
      <c r="N95" s="14">
        <v>1150</v>
      </c>
    </row>
    <row r="96" ht="18" spans="1:14">
      <c r="A96" s="14">
        <v>95</v>
      </c>
      <c r="B96" s="14">
        <v>1</v>
      </c>
      <c r="C96" s="29" t="s">
        <v>271</v>
      </c>
      <c r="D96" s="14" t="s">
        <v>67</v>
      </c>
      <c r="E96" s="14" t="s">
        <v>30</v>
      </c>
      <c r="F96" s="14" t="s">
        <v>134</v>
      </c>
      <c r="G96" s="14" t="s">
        <v>135</v>
      </c>
      <c r="H96" s="12" t="s">
        <v>33</v>
      </c>
      <c r="I96" s="12" t="s">
        <v>149</v>
      </c>
      <c r="J96" s="14" t="s">
        <v>265</v>
      </c>
      <c r="K96" s="39">
        <v>45076</v>
      </c>
      <c r="L96" s="37">
        <v>18</v>
      </c>
      <c r="M96" s="37">
        <v>0</v>
      </c>
      <c r="N96" s="14">
        <v>1200</v>
      </c>
    </row>
    <row r="97" ht="18" spans="1:14">
      <c r="A97" s="14">
        <v>96</v>
      </c>
      <c r="B97" s="14">
        <v>1</v>
      </c>
      <c r="C97" s="29" t="s">
        <v>272</v>
      </c>
      <c r="D97" s="14" t="s">
        <v>67</v>
      </c>
      <c r="E97" s="14" t="s">
        <v>30</v>
      </c>
      <c r="F97" s="14" t="s">
        <v>246</v>
      </c>
      <c r="G97" s="14" t="s">
        <v>247</v>
      </c>
      <c r="H97" s="14" t="s">
        <v>33</v>
      </c>
      <c r="I97" s="14" t="s">
        <v>167</v>
      </c>
      <c r="J97" s="14" t="s">
        <v>137</v>
      </c>
      <c r="K97" s="39">
        <v>45081</v>
      </c>
      <c r="L97" s="37">
        <v>18</v>
      </c>
      <c r="M97" s="37">
        <v>0</v>
      </c>
      <c r="N97" s="14">
        <v>1580</v>
      </c>
    </row>
    <row r="98" ht="18" spans="1:14">
      <c r="A98" s="14">
        <v>97</v>
      </c>
      <c r="B98" s="14">
        <v>1</v>
      </c>
      <c r="C98" s="29" t="s">
        <v>198</v>
      </c>
      <c r="D98" s="14" t="s">
        <v>29</v>
      </c>
      <c r="E98" s="14" t="s">
        <v>30</v>
      </c>
      <c r="F98" s="14" t="s">
        <v>141</v>
      </c>
      <c r="G98" s="14" t="s">
        <v>80</v>
      </c>
      <c r="H98" s="14" t="s">
        <v>139</v>
      </c>
      <c r="I98" s="14" t="s">
        <v>149</v>
      </c>
      <c r="J98" s="14" t="s">
        <v>150</v>
      </c>
      <c r="K98" s="39">
        <v>45081</v>
      </c>
      <c r="L98" s="37">
        <v>25</v>
      </c>
      <c r="M98" s="37">
        <v>1</v>
      </c>
      <c r="N98" s="14">
        <v>3325</v>
      </c>
    </row>
    <row r="99" ht="18" spans="1:14">
      <c r="A99" s="12">
        <v>98</v>
      </c>
      <c r="B99" s="27">
        <v>1</v>
      </c>
      <c r="C99" s="28" t="s">
        <v>273</v>
      </c>
      <c r="D99" s="27" t="s">
        <v>67</v>
      </c>
      <c r="E99" s="27" t="s">
        <v>30</v>
      </c>
      <c r="F99" s="14" t="s">
        <v>246</v>
      </c>
      <c r="G99" s="27" t="s">
        <v>247</v>
      </c>
      <c r="H99" s="27" t="s">
        <v>33</v>
      </c>
      <c r="I99" s="27" t="s">
        <v>167</v>
      </c>
      <c r="J99" s="27" t="s">
        <v>137</v>
      </c>
      <c r="K99" s="35">
        <v>45081</v>
      </c>
      <c r="L99" s="36">
        <v>18</v>
      </c>
      <c r="M99" s="36">
        <v>0</v>
      </c>
      <c r="N99" s="27">
        <v>0</v>
      </c>
    </row>
    <row r="100" ht="18" spans="1:14">
      <c r="A100" s="14">
        <v>99</v>
      </c>
      <c r="B100" s="14">
        <v>1</v>
      </c>
      <c r="C100" s="29" t="s">
        <v>274</v>
      </c>
      <c r="D100" s="14" t="s">
        <v>67</v>
      </c>
      <c r="E100" s="14" t="s">
        <v>30</v>
      </c>
      <c r="F100" s="14" t="s">
        <v>246</v>
      </c>
      <c r="G100" s="14" t="s">
        <v>247</v>
      </c>
      <c r="H100" s="14" t="s">
        <v>33</v>
      </c>
      <c r="I100" s="14" t="s">
        <v>167</v>
      </c>
      <c r="J100" s="14" t="s">
        <v>275</v>
      </c>
      <c r="K100" s="39">
        <v>45084</v>
      </c>
      <c r="L100" s="37">
        <v>18</v>
      </c>
      <c r="M100" s="37">
        <v>0</v>
      </c>
      <c r="N100" s="14">
        <v>1580</v>
      </c>
    </row>
    <row r="101" ht="18" spans="1:14">
      <c r="A101" s="14">
        <v>100</v>
      </c>
      <c r="B101" s="14">
        <v>1</v>
      </c>
      <c r="C101" s="29" t="s">
        <v>276</v>
      </c>
      <c r="D101" s="14" t="s">
        <v>67</v>
      </c>
      <c r="E101" s="14" t="s">
        <v>30</v>
      </c>
      <c r="F101" s="14" t="s">
        <v>246</v>
      </c>
      <c r="G101" s="14" t="s">
        <v>247</v>
      </c>
      <c r="H101" s="14" t="s">
        <v>33</v>
      </c>
      <c r="I101" s="14" t="s">
        <v>167</v>
      </c>
      <c r="J101" s="14" t="s">
        <v>277</v>
      </c>
      <c r="K101" s="39">
        <v>45084</v>
      </c>
      <c r="L101" s="37">
        <v>18</v>
      </c>
      <c r="M101" s="37">
        <v>0</v>
      </c>
      <c r="N101" s="14">
        <v>1580</v>
      </c>
    </row>
    <row r="102" ht="18" spans="1:14">
      <c r="A102" s="14">
        <v>101</v>
      </c>
      <c r="B102" s="14">
        <v>1</v>
      </c>
      <c r="C102" s="29" t="s">
        <v>278</v>
      </c>
      <c r="D102" s="14" t="s">
        <v>29</v>
      </c>
      <c r="E102" s="14" t="s">
        <v>57</v>
      </c>
      <c r="F102" s="14" t="s">
        <v>127</v>
      </c>
      <c r="G102" s="14" t="s">
        <v>108</v>
      </c>
      <c r="H102" s="14" t="s">
        <v>129</v>
      </c>
      <c r="I102" s="14" t="s">
        <v>130</v>
      </c>
      <c r="J102" s="14" t="s">
        <v>131</v>
      </c>
      <c r="K102" s="39">
        <v>45085</v>
      </c>
      <c r="L102" s="37">
        <v>25</v>
      </c>
      <c r="M102" s="37">
        <v>1</v>
      </c>
      <c r="N102" s="14">
        <v>3562</v>
      </c>
    </row>
    <row r="103" ht="18" spans="1:14">
      <c r="A103" s="14">
        <v>102</v>
      </c>
      <c r="B103" s="14">
        <v>1</v>
      </c>
      <c r="C103" s="29" t="s">
        <v>279</v>
      </c>
      <c r="D103" s="14" t="s">
        <v>67</v>
      </c>
      <c r="E103" s="14" t="s">
        <v>57</v>
      </c>
      <c r="F103" s="14" t="s">
        <v>141</v>
      </c>
      <c r="G103" s="14" t="s">
        <v>176</v>
      </c>
      <c r="H103" s="14" t="s">
        <v>129</v>
      </c>
      <c r="I103" s="14" t="s">
        <v>149</v>
      </c>
      <c r="J103" s="14" t="s">
        <v>280</v>
      </c>
      <c r="K103" s="39">
        <v>45085</v>
      </c>
      <c r="L103" s="37">
        <v>25</v>
      </c>
      <c r="M103" s="37">
        <v>2</v>
      </c>
      <c r="N103" s="14">
        <v>3812</v>
      </c>
    </row>
    <row r="104" ht="18" spans="1:14">
      <c r="A104" s="14">
        <v>103</v>
      </c>
      <c r="B104" s="14">
        <v>1</v>
      </c>
      <c r="C104" s="29" t="s">
        <v>281</v>
      </c>
      <c r="D104" s="14" t="s">
        <v>29</v>
      </c>
      <c r="E104" s="14" t="s">
        <v>30</v>
      </c>
      <c r="F104" s="14" t="s">
        <v>127</v>
      </c>
      <c r="G104" s="14" t="s">
        <v>128</v>
      </c>
      <c r="H104" s="14" t="s">
        <v>129</v>
      </c>
      <c r="I104" s="14" t="s">
        <v>130</v>
      </c>
      <c r="J104" s="14" t="s">
        <v>131</v>
      </c>
      <c r="K104" s="39">
        <v>45086</v>
      </c>
      <c r="L104" s="37">
        <v>25</v>
      </c>
      <c r="M104" s="37">
        <v>0</v>
      </c>
      <c r="N104" s="14">
        <v>3562</v>
      </c>
    </row>
    <row r="105" ht="18" spans="1:14">
      <c r="A105" s="14">
        <v>104</v>
      </c>
      <c r="B105" s="14">
        <v>1</v>
      </c>
      <c r="C105" s="29" t="s">
        <v>282</v>
      </c>
      <c r="D105" s="14" t="s">
        <v>29</v>
      </c>
      <c r="E105" s="14" t="s">
        <v>57</v>
      </c>
      <c r="F105" s="14" t="s">
        <v>127</v>
      </c>
      <c r="G105" s="14" t="s">
        <v>152</v>
      </c>
      <c r="H105" s="14" t="s">
        <v>129</v>
      </c>
      <c r="I105" s="14" t="s">
        <v>130</v>
      </c>
      <c r="J105" s="14" t="s">
        <v>131</v>
      </c>
      <c r="K105" s="39">
        <v>45086</v>
      </c>
      <c r="L105" s="37">
        <v>25</v>
      </c>
      <c r="M105" s="37">
        <v>0</v>
      </c>
      <c r="N105" s="14">
        <v>3562</v>
      </c>
    </row>
    <row r="106" ht="18" spans="1:14">
      <c r="A106" s="14">
        <v>105</v>
      </c>
      <c r="B106" s="14">
        <v>1</v>
      </c>
      <c r="C106" s="29" t="s">
        <v>283</v>
      </c>
      <c r="D106" s="14" t="s">
        <v>67</v>
      </c>
      <c r="E106" s="14" t="s">
        <v>57</v>
      </c>
      <c r="F106" s="14" t="s">
        <v>141</v>
      </c>
      <c r="G106" s="14" t="s">
        <v>176</v>
      </c>
      <c r="H106" s="14" t="s">
        <v>129</v>
      </c>
      <c r="I106" s="14" t="s">
        <v>149</v>
      </c>
      <c r="J106" s="14" t="s">
        <v>160</v>
      </c>
      <c r="K106" s="39">
        <v>45087</v>
      </c>
      <c r="L106" s="37">
        <v>25</v>
      </c>
      <c r="M106" s="37">
        <v>1</v>
      </c>
      <c r="N106" s="14">
        <v>3575</v>
      </c>
    </row>
    <row r="107" ht="18" spans="1:14">
      <c r="A107" s="14">
        <v>106</v>
      </c>
      <c r="B107" s="14">
        <v>1</v>
      </c>
      <c r="C107" s="29" t="s">
        <v>284</v>
      </c>
      <c r="D107" s="14" t="s">
        <v>67</v>
      </c>
      <c r="E107" s="14" t="s">
        <v>30</v>
      </c>
      <c r="F107" s="14" t="s">
        <v>246</v>
      </c>
      <c r="G107" s="14" t="s">
        <v>247</v>
      </c>
      <c r="H107" s="14" t="s">
        <v>33</v>
      </c>
      <c r="I107" s="14" t="s">
        <v>167</v>
      </c>
      <c r="J107" s="14" t="s">
        <v>285</v>
      </c>
      <c r="K107" s="39">
        <v>45087</v>
      </c>
      <c r="L107" s="37">
        <v>18</v>
      </c>
      <c r="M107" s="37">
        <v>0</v>
      </c>
      <c r="N107" s="14">
        <v>1580</v>
      </c>
    </row>
    <row r="108" ht="18" spans="1:14">
      <c r="A108" s="14">
        <v>107</v>
      </c>
      <c r="B108" s="14">
        <v>1</v>
      </c>
      <c r="C108" s="29" t="s">
        <v>286</v>
      </c>
      <c r="D108" s="14" t="s">
        <v>67</v>
      </c>
      <c r="E108" s="14" t="s">
        <v>30</v>
      </c>
      <c r="F108" s="14" t="s">
        <v>134</v>
      </c>
      <c r="G108" s="14" t="s">
        <v>239</v>
      </c>
      <c r="H108" s="14" t="s">
        <v>33</v>
      </c>
      <c r="I108" s="14" t="s">
        <v>149</v>
      </c>
      <c r="J108" s="14" t="s">
        <v>265</v>
      </c>
      <c r="K108" s="39">
        <v>45088</v>
      </c>
      <c r="L108" s="37">
        <v>18</v>
      </c>
      <c r="M108" s="37">
        <v>0</v>
      </c>
      <c r="N108" s="14">
        <v>1580</v>
      </c>
    </row>
    <row r="109" ht="18" spans="1:14">
      <c r="A109" s="14">
        <v>108</v>
      </c>
      <c r="B109" s="14">
        <v>1</v>
      </c>
      <c r="C109" s="29" t="s">
        <v>287</v>
      </c>
      <c r="D109" s="14" t="s">
        <v>67</v>
      </c>
      <c r="E109" s="14" t="s">
        <v>90</v>
      </c>
      <c r="F109" s="14" t="s">
        <v>141</v>
      </c>
      <c r="G109" s="14" t="s">
        <v>258</v>
      </c>
      <c r="H109" s="14" t="s">
        <v>259</v>
      </c>
      <c r="I109" s="14" t="s">
        <v>149</v>
      </c>
      <c r="J109" s="14" t="s">
        <v>219</v>
      </c>
      <c r="K109" s="39">
        <v>45088</v>
      </c>
      <c r="L109" s="37">
        <v>25</v>
      </c>
      <c r="M109" s="37">
        <v>4</v>
      </c>
      <c r="N109" s="14">
        <v>3325</v>
      </c>
    </row>
    <row r="110" ht="18" spans="1:14">
      <c r="A110" s="14">
        <v>109</v>
      </c>
      <c r="B110" s="14">
        <v>1</v>
      </c>
      <c r="C110" s="29" t="s">
        <v>288</v>
      </c>
      <c r="D110" s="14" t="s">
        <v>67</v>
      </c>
      <c r="E110" s="14" t="s">
        <v>30</v>
      </c>
      <c r="F110" s="14" t="s">
        <v>246</v>
      </c>
      <c r="G110" s="14" t="s">
        <v>247</v>
      </c>
      <c r="H110" s="14" t="s">
        <v>33</v>
      </c>
      <c r="I110" s="14" t="s">
        <v>167</v>
      </c>
      <c r="J110" s="14" t="s">
        <v>235</v>
      </c>
      <c r="K110" s="39">
        <v>45089</v>
      </c>
      <c r="L110" s="37">
        <v>18</v>
      </c>
      <c r="M110" s="37">
        <v>0</v>
      </c>
      <c r="N110" s="14">
        <v>1580</v>
      </c>
    </row>
    <row r="111" ht="18" spans="1:14">
      <c r="A111" s="14">
        <v>110</v>
      </c>
      <c r="B111" s="14">
        <v>1</v>
      </c>
      <c r="C111" s="29" t="s">
        <v>289</v>
      </c>
      <c r="D111" s="14" t="s">
        <v>67</v>
      </c>
      <c r="E111" s="14" t="s">
        <v>30</v>
      </c>
      <c r="F111" s="14" t="s">
        <v>246</v>
      </c>
      <c r="G111" s="14" t="s">
        <v>247</v>
      </c>
      <c r="H111" s="14" t="s">
        <v>33</v>
      </c>
      <c r="I111" s="14" t="s">
        <v>167</v>
      </c>
      <c r="J111" s="14" t="s">
        <v>235</v>
      </c>
      <c r="K111" s="39">
        <v>45089</v>
      </c>
      <c r="L111" s="37">
        <v>18</v>
      </c>
      <c r="M111" s="37">
        <v>0</v>
      </c>
      <c r="N111" s="14">
        <v>1580</v>
      </c>
    </row>
    <row r="112" ht="18" spans="1:14">
      <c r="A112" s="14">
        <v>111</v>
      </c>
      <c r="B112" s="14">
        <v>1</v>
      </c>
      <c r="C112" s="29" t="s">
        <v>214</v>
      </c>
      <c r="D112" s="14" t="s">
        <v>290</v>
      </c>
      <c r="E112" s="14" t="s">
        <v>30</v>
      </c>
      <c r="F112" s="14" t="s">
        <v>141</v>
      </c>
      <c r="G112" s="14" t="s">
        <v>291</v>
      </c>
      <c r="H112" s="14" t="s">
        <v>139</v>
      </c>
      <c r="I112" s="14" t="s">
        <v>143</v>
      </c>
      <c r="J112" s="14" t="s">
        <v>292</v>
      </c>
      <c r="K112" s="39">
        <v>45095</v>
      </c>
      <c r="L112" s="37">
        <v>25</v>
      </c>
      <c r="M112" s="37">
        <v>2</v>
      </c>
      <c r="N112" s="14">
        <v>3562</v>
      </c>
    </row>
    <row r="113" ht="18" spans="1:14">
      <c r="A113" s="14">
        <v>112</v>
      </c>
      <c r="B113" s="14">
        <v>1</v>
      </c>
      <c r="C113" s="32" t="s">
        <v>293</v>
      </c>
      <c r="D113" s="14" t="s">
        <v>67</v>
      </c>
      <c r="E113" s="14" t="s">
        <v>90</v>
      </c>
      <c r="F113" s="14" t="s">
        <v>32</v>
      </c>
      <c r="G113" s="14" t="s">
        <v>294</v>
      </c>
      <c r="H113" s="14" t="s">
        <v>129</v>
      </c>
      <c r="I113" s="14" t="s">
        <v>149</v>
      </c>
      <c r="J113" s="14" t="s">
        <v>150</v>
      </c>
      <c r="K113" s="39">
        <v>45096</v>
      </c>
      <c r="L113" s="37">
        <v>25</v>
      </c>
      <c r="M113" s="37">
        <v>3</v>
      </c>
      <c r="N113" s="14">
        <v>3562</v>
      </c>
    </row>
    <row r="114" ht="18" spans="1:14">
      <c r="A114" s="14">
        <v>113</v>
      </c>
      <c r="B114" s="14">
        <v>1</v>
      </c>
      <c r="C114" s="29" t="s">
        <v>295</v>
      </c>
      <c r="D114" s="14" t="s">
        <v>67</v>
      </c>
      <c r="E114" s="14" t="s">
        <v>30</v>
      </c>
      <c r="F114" s="14" t="s">
        <v>134</v>
      </c>
      <c r="G114" s="14" t="s">
        <v>199</v>
      </c>
      <c r="H114" s="14" t="s">
        <v>33</v>
      </c>
      <c r="I114" s="14" t="s">
        <v>149</v>
      </c>
      <c r="J114" s="14" t="s">
        <v>160</v>
      </c>
      <c r="K114" s="39">
        <v>45096</v>
      </c>
      <c r="L114" s="37">
        <v>18</v>
      </c>
      <c r="M114" s="37">
        <v>0</v>
      </c>
      <c r="N114" s="14">
        <v>1580</v>
      </c>
    </row>
    <row r="115" ht="18" spans="1:14">
      <c r="A115" s="14">
        <v>114</v>
      </c>
      <c r="B115" s="14">
        <v>1</v>
      </c>
      <c r="C115" s="29" t="s">
        <v>296</v>
      </c>
      <c r="D115" s="14" t="s">
        <v>67</v>
      </c>
      <c r="E115" s="14" t="s">
        <v>30</v>
      </c>
      <c r="F115" s="14" t="s">
        <v>134</v>
      </c>
      <c r="G115" s="14" t="s">
        <v>239</v>
      </c>
      <c r="H115" s="14" t="s">
        <v>33</v>
      </c>
      <c r="I115" s="14" t="s">
        <v>149</v>
      </c>
      <c r="J115" s="14" t="s">
        <v>265</v>
      </c>
      <c r="K115" s="39">
        <v>45096</v>
      </c>
      <c r="L115" s="37">
        <v>18</v>
      </c>
      <c r="M115" s="37">
        <v>0</v>
      </c>
      <c r="N115" s="14">
        <v>1380</v>
      </c>
    </row>
    <row r="116" ht="18" spans="1:14">
      <c r="A116" s="14">
        <v>115</v>
      </c>
      <c r="B116" s="14">
        <v>1</v>
      </c>
      <c r="C116" s="29" t="s">
        <v>297</v>
      </c>
      <c r="D116" s="14" t="s">
        <v>67</v>
      </c>
      <c r="E116" s="14" t="s">
        <v>30</v>
      </c>
      <c r="F116" s="14" t="s">
        <v>134</v>
      </c>
      <c r="G116" s="14" t="s">
        <v>239</v>
      </c>
      <c r="H116" s="14" t="s">
        <v>33</v>
      </c>
      <c r="I116" s="14" t="s">
        <v>149</v>
      </c>
      <c r="J116" s="14" t="s">
        <v>150</v>
      </c>
      <c r="K116" s="39">
        <v>45097</v>
      </c>
      <c r="L116" s="37">
        <v>18</v>
      </c>
      <c r="M116" s="37">
        <v>0</v>
      </c>
      <c r="N116" s="14">
        <v>1580</v>
      </c>
    </row>
    <row r="117" ht="18" spans="1:14">
      <c r="A117" s="14">
        <v>116</v>
      </c>
      <c r="B117" s="14">
        <v>1</v>
      </c>
      <c r="C117" s="32" t="s">
        <v>298</v>
      </c>
      <c r="D117" s="14" t="s">
        <v>67</v>
      </c>
      <c r="E117" s="14" t="s">
        <v>30</v>
      </c>
      <c r="F117" s="14" t="s">
        <v>127</v>
      </c>
      <c r="G117" s="14" t="s">
        <v>299</v>
      </c>
      <c r="H117" s="14" t="s">
        <v>33</v>
      </c>
      <c r="I117" s="14" t="s">
        <v>130</v>
      </c>
      <c r="J117" s="14" t="s">
        <v>137</v>
      </c>
      <c r="K117" s="39">
        <v>45099</v>
      </c>
      <c r="L117" s="37">
        <v>18</v>
      </c>
      <c r="M117" s="37">
        <v>0</v>
      </c>
      <c r="N117" s="14">
        <v>1580</v>
      </c>
    </row>
    <row r="118" ht="18" spans="1:14">
      <c r="A118" s="14">
        <v>117</v>
      </c>
      <c r="B118" s="14">
        <v>1</v>
      </c>
      <c r="C118" s="32" t="s">
        <v>300</v>
      </c>
      <c r="D118" s="14" t="s">
        <v>67</v>
      </c>
      <c r="E118" s="14" t="s">
        <v>30</v>
      </c>
      <c r="F118" s="14" t="s">
        <v>141</v>
      </c>
      <c r="G118" s="14" t="s">
        <v>294</v>
      </c>
      <c r="H118" s="14" t="s">
        <v>301</v>
      </c>
      <c r="I118" s="14" t="s">
        <v>149</v>
      </c>
      <c r="J118" s="14" t="s">
        <v>150</v>
      </c>
      <c r="K118" s="39">
        <v>45101</v>
      </c>
      <c r="L118" s="37">
        <v>16</v>
      </c>
      <c r="M118" s="37">
        <v>0</v>
      </c>
      <c r="N118" s="14">
        <v>2419</v>
      </c>
    </row>
    <row r="119" ht="18" spans="1:14">
      <c r="A119" s="14">
        <v>118</v>
      </c>
      <c r="B119" s="14">
        <v>1</v>
      </c>
      <c r="C119" s="29" t="s">
        <v>300</v>
      </c>
      <c r="D119" s="14" t="s">
        <v>67</v>
      </c>
      <c r="E119" s="14" t="s">
        <v>30</v>
      </c>
      <c r="F119" s="14" t="s">
        <v>134</v>
      </c>
      <c r="G119" s="14" t="s">
        <v>199</v>
      </c>
      <c r="H119" s="14" t="s">
        <v>302</v>
      </c>
      <c r="I119" s="14" t="s">
        <v>149</v>
      </c>
      <c r="J119" s="14" t="s">
        <v>150</v>
      </c>
      <c r="K119" s="39">
        <v>45101</v>
      </c>
      <c r="L119" s="37">
        <v>18</v>
      </c>
      <c r="M119" s="37">
        <v>0</v>
      </c>
      <c r="N119" s="14">
        <v>1580</v>
      </c>
    </row>
    <row r="120" ht="18" spans="1:14">
      <c r="A120" s="14">
        <v>119</v>
      </c>
      <c r="B120" s="14">
        <v>1</v>
      </c>
      <c r="C120" s="29" t="s">
        <v>303</v>
      </c>
      <c r="D120" s="14" t="s">
        <v>67</v>
      </c>
      <c r="E120" s="14" t="s">
        <v>57</v>
      </c>
      <c r="F120" s="14" t="s">
        <v>134</v>
      </c>
      <c r="G120" s="14" t="s">
        <v>199</v>
      </c>
      <c r="H120" s="14" t="s">
        <v>302</v>
      </c>
      <c r="I120" s="14" t="s">
        <v>149</v>
      </c>
      <c r="J120" s="14" t="s">
        <v>304</v>
      </c>
      <c r="K120" s="39">
        <v>45102</v>
      </c>
      <c r="L120" s="37">
        <v>18</v>
      </c>
      <c r="M120" s="37">
        <v>0</v>
      </c>
      <c r="N120" s="14">
        <v>1580</v>
      </c>
    </row>
    <row r="121" ht="18" spans="1:14">
      <c r="A121" s="14">
        <v>120</v>
      </c>
      <c r="B121" s="14">
        <v>1</v>
      </c>
      <c r="C121" s="29" t="s">
        <v>305</v>
      </c>
      <c r="D121" s="14" t="s">
        <v>67</v>
      </c>
      <c r="E121" s="14" t="s">
        <v>30</v>
      </c>
      <c r="F121" s="14" t="s">
        <v>134</v>
      </c>
      <c r="G121" s="14" t="s">
        <v>199</v>
      </c>
      <c r="H121" s="14" t="s">
        <v>302</v>
      </c>
      <c r="I121" s="14" t="s">
        <v>149</v>
      </c>
      <c r="J121" s="14" t="s">
        <v>160</v>
      </c>
      <c r="K121" s="39">
        <v>45104</v>
      </c>
      <c r="L121" s="37">
        <v>18</v>
      </c>
      <c r="M121" s="37">
        <v>0</v>
      </c>
      <c r="N121" s="14">
        <v>1580</v>
      </c>
    </row>
    <row r="122" ht="18" spans="1:14">
      <c r="A122" s="14">
        <v>121</v>
      </c>
      <c r="B122" s="14">
        <v>1</v>
      </c>
      <c r="C122" s="29" t="s">
        <v>306</v>
      </c>
      <c r="D122" s="14" t="s">
        <v>67</v>
      </c>
      <c r="E122" s="14" t="s">
        <v>30</v>
      </c>
      <c r="F122" s="14" t="s">
        <v>127</v>
      </c>
      <c r="G122" s="14" t="s">
        <v>299</v>
      </c>
      <c r="H122" s="14" t="s">
        <v>302</v>
      </c>
      <c r="I122" s="14" t="s">
        <v>130</v>
      </c>
      <c r="J122" s="14" t="s">
        <v>137</v>
      </c>
      <c r="K122" s="39">
        <v>45106</v>
      </c>
      <c r="L122" s="37">
        <v>18</v>
      </c>
      <c r="M122" s="37">
        <v>0</v>
      </c>
      <c r="N122" s="14">
        <v>1580</v>
      </c>
    </row>
    <row r="123" ht="18" spans="1:14">
      <c r="A123" s="14">
        <v>122</v>
      </c>
      <c r="B123" s="14">
        <v>1</v>
      </c>
      <c r="C123" s="29" t="s">
        <v>307</v>
      </c>
      <c r="D123" s="14" t="s">
        <v>67</v>
      </c>
      <c r="E123" s="14" t="s">
        <v>30</v>
      </c>
      <c r="F123" s="14" t="s">
        <v>127</v>
      </c>
      <c r="G123" s="14" t="s">
        <v>299</v>
      </c>
      <c r="H123" s="14" t="s">
        <v>302</v>
      </c>
      <c r="I123" s="14" t="s">
        <v>130</v>
      </c>
      <c r="J123" s="14" t="s">
        <v>131</v>
      </c>
      <c r="K123" s="39">
        <v>45108</v>
      </c>
      <c r="L123" s="37">
        <v>18</v>
      </c>
      <c r="M123" s="37">
        <v>0</v>
      </c>
      <c r="N123" s="14">
        <v>1580</v>
      </c>
    </row>
    <row r="124" ht="18" spans="1:14">
      <c r="A124" s="14">
        <v>123</v>
      </c>
      <c r="B124" s="14">
        <v>1</v>
      </c>
      <c r="C124" s="29" t="s">
        <v>308</v>
      </c>
      <c r="D124" s="14" t="s">
        <v>67</v>
      </c>
      <c r="E124" s="14" t="s">
        <v>30</v>
      </c>
      <c r="F124" s="14" t="s">
        <v>32</v>
      </c>
      <c r="G124" s="14" t="s">
        <v>309</v>
      </c>
      <c r="H124" s="14" t="s">
        <v>302</v>
      </c>
      <c r="I124" s="14" t="s">
        <v>149</v>
      </c>
      <c r="J124" s="14" t="s">
        <v>150</v>
      </c>
      <c r="K124" s="39">
        <v>45108</v>
      </c>
      <c r="L124" s="37">
        <v>18</v>
      </c>
      <c r="M124" s="37">
        <v>0</v>
      </c>
      <c r="N124" s="14">
        <v>1580</v>
      </c>
    </row>
    <row r="125" ht="18" spans="1:14">
      <c r="A125" s="14">
        <v>124</v>
      </c>
      <c r="B125" s="14">
        <v>1</v>
      </c>
      <c r="C125" s="29" t="s">
        <v>310</v>
      </c>
      <c r="D125" s="14" t="s">
        <v>67</v>
      </c>
      <c r="E125" s="14" t="s">
        <v>104</v>
      </c>
      <c r="F125" s="14" t="s">
        <v>127</v>
      </c>
      <c r="G125" s="14" t="s">
        <v>87</v>
      </c>
      <c r="H125" s="14" t="s">
        <v>259</v>
      </c>
      <c r="I125" s="14" t="s">
        <v>130</v>
      </c>
      <c r="J125" s="14" t="s">
        <v>131</v>
      </c>
      <c r="K125" s="39">
        <v>45109</v>
      </c>
      <c r="L125" s="37">
        <v>50</v>
      </c>
      <c r="M125" s="37">
        <v>0</v>
      </c>
      <c r="N125" s="14">
        <v>6765</v>
      </c>
    </row>
    <row r="126" ht="18" spans="1:14">
      <c r="A126" s="14">
        <v>125</v>
      </c>
      <c r="B126" s="14">
        <v>1</v>
      </c>
      <c r="C126" s="29" t="s">
        <v>311</v>
      </c>
      <c r="D126" s="14" t="s">
        <v>67</v>
      </c>
      <c r="E126" s="14" t="s">
        <v>30</v>
      </c>
      <c r="F126" s="14" t="s">
        <v>134</v>
      </c>
      <c r="G126" s="14" t="s">
        <v>199</v>
      </c>
      <c r="H126" s="14" t="s">
        <v>302</v>
      </c>
      <c r="I126" s="14" t="s">
        <v>149</v>
      </c>
      <c r="J126" s="14" t="s">
        <v>235</v>
      </c>
      <c r="K126" s="39">
        <v>45110</v>
      </c>
      <c r="L126" s="37">
        <v>18</v>
      </c>
      <c r="M126" s="37">
        <v>0</v>
      </c>
      <c r="N126" s="14">
        <v>1580</v>
      </c>
    </row>
    <row r="127" ht="18" spans="1:14">
      <c r="A127" s="14">
        <v>126</v>
      </c>
      <c r="B127" s="14">
        <v>1</v>
      </c>
      <c r="C127" s="29" t="s">
        <v>312</v>
      </c>
      <c r="D127" s="14" t="s">
        <v>67</v>
      </c>
      <c r="E127" s="14" t="s">
        <v>90</v>
      </c>
      <c r="F127" s="14" t="s">
        <v>127</v>
      </c>
      <c r="G127" s="14" t="s">
        <v>313</v>
      </c>
      <c r="H127" s="14" t="s">
        <v>129</v>
      </c>
      <c r="I127" s="14" t="s">
        <v>130</v>
      </c>
      <c r="J127" s="14" t="s">
        <v>131</v>
      </c>
      <c r="K127" s="39">
        <v>45110</v>
      </c>
      <c r="L127" s="37">
        <v>50</v>
      </c>
      <c r="M127" s="37">
        <v>16</v>
      </c>
      <c r="N127" s="14">
        <v>6750</v>
      </c>
    </row>
    <row r="128" ht="18" spans="1:14">
      <c r="A128" s="14">
        <v>127</v>
      </c>
      <c r="B128" s="14">
        <v>1</v>
      </c>
      <c r="C128" s="29" t="s">
        <v>314</v>
      </c>
      <c r="D128" s="14" t="s">
        <v>67</v>
      </c>
      <c r="E128" s="14" t="s">
        <v>30</v>
      </c>
      <c r="F128" s="14" t="s">
        <v>315</v>
      </c>
      <c r="G128" s="14" t="s">
        <v>316</v>
      </c>
      <c r="H128" s="14" t="s">
        <v>302</v>
      </c>
      <c r="I128" s="14" t="s">
        <v>143</v>
      </c>
      <c r="J128" s="14" t="s">
        <v>215</v>
      </c>
      <c r="K128" s="39">
        <v>45111</v>
      </c>
      <c r="L128" s="37">
        <v>18</v>
      </c>
      <c r="M128" s="37">
        <v>0</v>
      </c>
      <c r="N128" s="14">
        <v>1580</v>
      </c>
    </row>
    <row r="129" ht="18" spans="1:14">
      <c r="A129" s="14">
        <v>128</v>
      </c>
      <c r="B129" s="14">
        <v>1</v>
      </c>
      <c r="C129" s="29" t="s">
        <v>317</v>
      </c>
      <c r="D129" s="14" t="s">
        <v>67</v>
      </c>
      <c r="E129" s="14" t="s">
        <v>30</v>
      </c>
      <c r="F129" s="14" t="s">
        <v>315</v>
      </c>
      <c r="G129" s="14" t="s">
        <v>316</v>
      </c>
      <c r="H129" s="14" t="s">
        <v>302</v>
      </c>
      <c r="I129" s="14" t="s">
        <v>143</v>
      </c>
      <c r="J129" s="14" t="s">
        <v>215</v>
      </c>
      <c r="K129" s="39">
        <v>45116</v>
      </c>
      <c r="L129" s="37">
        <v>18</v>
      </c>
      <c r="M129" s="37">
        <v>0</v>
      </c>
      <c r="N129" s="14">
        <v>1580</v>
      </c>
    </row>
    <row r="130" ht="18" spans="1:14">
      <c r="A130" s="14">
        <v>129</v>
      </c>
      <c r="B130" s="14">
        <v>1</v>
      </c>
      <c r="C130" s="29" t="s">
        <v>318</v>
      </c>
      <c r="D130" s="14" t="s">
        <v>67</v>
      </c>
      <c r="E130" s="14" t="s">
        <v>90</v>
      </c>
      <c r="F130" s="14" t="s">
        <v>127</v>
      </c>
      <c r="G130" s="14" t="s">
        <v>87</v>
      </c>
      <c r="H130" s="14" t="s">
        <v>259</v>
      </c>
      <c r="I130" s="14" t="s">
        <v>130</v>
      </c>
      <c r="J130" s="14" t="s">
        <v>319</v>
      </c>
      <c r="K130" s="39">
        <v>45115</v>
      </c>
      <c r="L130" s="37">
        <v>16</v>
      </c>
      <c r="M130" s="37">
        <v>0</v>
      </c>
      <c r="N130" s="14">
        <v>1999</v>
      </c>
    </row>
    <row r="131" ht="18" spans="1:14">
      <c r="A131" s="14">
        <v>130</v>
      </c>
      <c r="B131" s="14">
        <v>1</v>
      </c>
      <c r="C131" s="29" t="s">
        <v>320</v>
      </c>
      <c r="D131" s="14" t="s">
        <v>67</v>
      </c>
      <c r="E131" s="14" t="s">
        <v>57</v>
      </c>
      <c r="F131" s="14" t="s">
        <v>127</v>
      </c>
      <c r="G131" s="14" t="s">
        <v>128</v>
      </c>
      <c r="H131" s="14" t="s">
        <v>129</v>
      </c>
      <c r="I131" s="14" t="s">
        <v>130</v>
      </c>
      <c r="J131" s="14" t="s">
        <v>131</v>
      </c>
      <c r="K131" s="39">
        <v>45117</v>
      </c>
      <c r="L131" s="37">
        <v>50</v>
      </c>
      <c r="M131" s="37">
        <v>4</v>
      </c>
      <c r="N131" s="14">
        <v>6300</v>
      </c>
    </row>
    <row r="132" ht="18" spans="1:14">
      <c r="A132" s="14">
        <v>131</v>
      </c>
      <c r="B132" s="14">
        <v>1</v>
      </c>
      <c r="C132" s="29" t="s">
        <v>321</v>
      </c>
      <c r="D132" s="14" t="s">
        <v>67</v>
      </c>
      <c r="E132" s="14" t="s">
        <v>30</v>
      </c>
      <c r="F132" s="14" t="s">
        <v>134</v>
      </c>
      <c r="G132" s="14" t="s">
        <v>199</v>
      </c>
      <c r="H132" s="14" t="s">
        <v>302</v>
      </c>
      <c r="I132" s="14" t="s">
        <v>149</v>
      </c>
      <c r="J132" s="14" t="s">
        <v>150</v>
      </c>
      <c r="K132" s="39">
        <v>45118</v>
      </c>
      <c r="L132" s="37">
        <v>18</v>
      </c>
      <c r="M132" s="37">
        <v>0</v>
      </c>
      <c r="N132" s="14">
        <v>1580</v>
      </c>
    </row>
    <row r="133" ht="18" spans="1:14">
      <c r="A133" s="14">
        <v>132</v>
      </c>
      <c r="B133" s="14">
        <v>1</v>
      </c>
      <c r="C133" s="29" t="s">
        <v>322</v>
      </c>
      <c r="D133" s="14" t="s">
        <v>67</v>
      </c>
      <c r="E133" s="14" t="s">
        <v>30</v>
      </c>
      <c r="F133" s="14" t="s">
        <v>315</v>
      </c>
      <c r="G133" s="14" t="s">
        <v>316</v>
      </c>
      <c r="H133" s="14" t="s">
        <v>302</v>
      </c>
      <c r="I133" s="14" t="s">
        <v>143</v>
      </c>
      <c r="J133" s="14" t="s">
        <v>215</v>
      </c>
      <c r="K133" s="39">
        <v>45120</v>
      </c>
      <c r="L133" s="37">
        <v>18</v>
      </c>
      <c r="M133" s="37">
        <v>0</v>
      </c>
      <c r="N133" s="14">
        <v>1580</v>
      </c>
    </row>
    <row r="134" ht="18" spans="1:14">
      <c r="A134" s="14">
        <v>133</v>
      </c>
      <c r="B134" s="14">
        <v>1</v>
      </c>
      <c r="C134" s="29" t="s">
        <v>323</v>
      </c>
      <c r="D134" s="14" t="s">
        <v>67</v>
      </c>
      <c r="E134" s="14" t="s">
        <v>30</v>
      </c>
      <c r="F134" s="14" t="s">
        <v>246</v>
      </c>
      <c r="G134" s="14" t="s">
        <v>247</v>
      </c>
      <c r="H134" s="14" t="s">
        <v>33</v>
      </c>
      <c r="I134" s="14" t="s">
        <v>167</v>
      </c>
      <c r="J134" s="14" t="s">
        <v>235</v>
      </c>
      <c r="K134" s="39">
        <v>45120</v>
      </c>
      <c r="L134" s="37">
        <v>18</v>
      </c>
      <c r="M134" s="37">
        <v>0</v>
      </c>
      <c r="N134" s="14">
        <v>1580</v>
      </c>
    </row>
    <row r="135" ht="18" spans="1:14">
      <c r="A135" s="14">
        <v>134</v>
      </c>
      <c r="B135" s="14">
        <v>1</v>
      </c>
      <c r="C135" s="29" t="s">
        <v>324</v>
      </c>
      <c r="D135" s="14" t="s">
        <v>67</v>
      </c>
      <c r="E135" s="14" t="s">
        <v>30</v>
      </c>
      <c r="F135" s="14" t="s">
        <v>246</v>
      </c>
      <c r="G135" s="14" t="s">
        <v>325</v>
      </c>
      <c r="H135" s="14" t="s">
        <v>302</v>
      </c>
      <c r="I135" s="14" t="s">
        <v>149</v>
      </c>
      <c r="J135" s="14" t="s">
        <v>160</v>
      </c>
      <c r="K135" s="39">
        <v>45122</v>
      </c>
      <c r="L135" s="37">
        <v>18</v>
      </c>
      <c r="M135" s="37">
        <v>0</v>
      </c>
      <c r="N135" s="14">
        <v>1580</v>
      </c>
    </row>
    <row r="136" ht="18" spans="1:14">
      <c r="A136" s="14">
        <v>135</v>
      </c>
      <c r="B136" s="14">
        <v>1</v>
      </c>
      <c r="C136" s="29" t="s">
        <v>326</v>
      </c>
      <c r="D136" s="14" t="s">
        <v>67</v>
      </c>
      <c r="E136" s="14" t="s">
        <v>30</v>
      </c>
      <c r="F136" s="14" t="s">
        <v>246</v>
      </c>
      <c r="G136" s="14" t="s">
        <v>325</v>
      </c>
      <c r="H136" s="14" t="s">
        <v>302</v>
      </c>
      <c r="I136" s="14" t="s">
        <v>149</v>
      </c>
      <c r="J136" s="14" t="s">
        <v>327</v>
      </c>
      <c r="K136" s="39">
        <v>45123</v>
      </c>
      <c r="L136" s="37">
        <v>18</v>
      </c>
      <c r="M136" s="37">
        <v>0</v>
      </c>
      <c r="N136" s="14">
        <v>1580</v>
      </c>
    </row>
    <row r="137" ht="18" spans="1:14">
      <c r="A137" s="14">
        <v>136</v>
      </c>
      <c r="B137" s="14">
        <v>1</v>
      </c>
      <c r="C137" s="29" t="s">
        <v>328</v>
      </c>
      <c r="D137" s="14" t="s">
        <v>67</v>
      </c>
      <c r="E137" s="14" t="s">
        <v>30</v>
      </c>
      <c r="F137" s="14" t="s">
        <v>246</v>
      </c>
      <c r="G137" s="14" t="s">
        <v>325</v>
      </c>
      <c r="H137" s="14" t="s">
        <v>302</v>
      </c>
      <c r="I137" s="14" t="s">
        <v>149</v>
      </c>
      <c r="J137" s="14" t="s">
        <v>329</v>
      </c>
      <c r="K137" s="39">
        <v>45123</v>
      </c>
      <c r="L137" s="37">
        <v>18</v>
      </c>
      <c r="M137" s="37">
        <v>0</v>
      </c>
      <c r="N137" s="14">
        <v>1580</v>
      </c>
    </row>
    <row r="138" ht="18" spans="1:14">
      <c r="A138" s="14">
        <v>137</v>
      </c>
      <c r="B138" s="14">
        <v>1</v>
      </c>
      <c r="C138" s="29" t="s">
        <v>330</v>
      </c>
      <c r="D138" s="14" t="s">
        <v>67</v>
      </c>
      <c r="E138" s="14" t="s">
        <v>30</v>
      </c>
      <c r="F138" s="14" t="s">
        <v>246</v>
      </c>
      <c r="G138" s="14" t="s">
        <v>325</v>
      </c>
      <c r="H138" s="14" t="s">
        <v>302</v>
      </c>
      <c r="I138" s="14" t="s">
        <v>149</v>
      </c>
      <c r="J138" s="14" t="s">
        <v>331</v>
      </c>
      <c r="K138" s="39">
        <v>45124</v>
      </c>
      <c r="L138" s="37">
        <v>18</v>
      </c>
      <c r="M138" s="37">
        <v>0</v>
      </c>
      <c r="N138" s="14">
        <v>1580</v>
      </c>
    </row>
    <row r="139" ht="18" spans="1:14">
      <c r="A139" s="14">
        <v>138</v>
      </c>
      <c r="B139" s="14">
        <v>1</v>
      </c>
      <c r="C139" s="29" t="s">
        <v>332</v>
      </c>
      <c r="D139" s="14" t="s">
        <v>67</v>
      </c>
      <c r="E139" s="14" t="s">
        <v>30</v>
      </c>
      <c r="F139" s="14" t="s">
        <v>246</v>
      </c>
      <c r="G139" s="14" t="s">
        <v>325</v>
      </c>
      <c r="H139" s="14" t="s">
        <v>302</v>
      </c>
      <c r="I139" s="14" t="s">
        <v>149</v>
      </c>
      <c r="J139" s="14" t="s">
        <v>327</v>
      </c>
      <c r="K139" s="39">
        <v>45125</v>
      </c>
      <c r="L139" s="37">
        <v>18</v>
      </c>
      <c r="M139" s="37">
        <v>0</v>
      </c>
      <c r="N139" s="14">
        <v>1580</v>
      </c>
    </row>
    <row r="140" ht="18" spans="1:14">
      <c r="A140" s="14">
        <v>139</v>
      </c>
      <c r="B140" s="14">
        <v>1</v>
      </c>
      <c r="C140" s="29" t="s">
        <v>333</v>
      </c>
      <c r="D140" s="14" t="s">
        <v>290</v>
      </c>
      <c r="E140" s="14" t="s">
        <v>30</v>
      </c>
      <c r="F140" s="14" t="s">
        <v>315</v>
      </c>
      <c r="G140" s="14" t="s">
        <v>316</v>
      </c>
      <c r="H140" s="14" t="s">
        <v>302</v>
      </c>
      <c r="I140" s="14" t="s">
        <v>143</v>
      </c>
      <c r="J140" s="14" t="s">
        <v>215</v>
      </c>
      <c r="K140" s="39">
        <v>45125</v>
      </c>
      <c r="L140" s="37">
        <v>18</v>
      </c>
      <c r="M140" s="37">
        <v>0</v>
      </c>
      <c r="N140" s="14">
        <v>1580</v>
      </c>
    </row>
    <row r="141" ht="18" spans="1:14">
      <c r="A141" s="14">
        <v>140</v>
      </c>
      <c r="B141" s="14">
        <v>1</v>
      </c>
      <c r="C141" s="29" t="s">
        <v>334</v>
      </c>
      <c r="D141" s="14" t="s">
        <v>67</v>
      </c>
      <c r="E141" s="14" t="s">
        <v>30</v>
      </c>
      <c r="F141" s="14" t="s">
        <v>127</v>
      </c>
      <c r="G141" s="14" t="s">
        <v>299</v>
      </c>
      <c r="H141" s="14" t="s">
        <v>302</v>
      </c>
      <c r="I141" s="14" t="s">
        <v>130</v>
      </c>
      <c r="J141" s="14" t="s">
        <v>155</v>
      </c>
      <c r="K141" s="39">
        <v>45126</v>
      </c>
      <c r="L141" s="37">
        <v>18</v>
      </c>
      <c r="M141" s="37">
        <v>0</v>
      </c>
      <c r="N141" s="14">
        <v>1580</v>
      </c>
    </row>
    <row r="142" ht="18" spans="1:14">
      <c r="A142" s="14">
        <v>141</v>
      </c>
      <c r="B142" s="14">
        <v>1</v>
      </c>
      <c r="C142" s="29" t="s">
        <v>335</v>
      </c>
      <c r="D142" s="14" t="s">
        <v>67</v>
      </c>
      <c r="E142" s="14" t="s">
        <v>30</v>
      </c>
      <c r="F142" s="14" t="s">
        <v>134</v>
      </c>
      <c r="G142" s="14" t="s">
        <v>336</v>
      </c>
      <c r="H142" s="14" t="s">
        <v>129</v>
      </c>
      <c r="I142" s="14" t="s">
        <v>130</v>
      </c>
      <c r="J142" s="14" t="s">
        <v>137</v>
      </c>
      <c r="K142" s="39">
        <v>45126</v>
      </c>
      <c r="L142" s="37">
        <v>16</v>
      </c>
      <c r="M142" s="37">
        <v>0</v>
      </c>
      <c r="N142" s="14">
        <v>1999</v>
      </c>
    </row>
    <row r="143" ht="18" spans="1:14">
      <c r="A143" s="14">
        <v>142</v>
      </c>
      <c r="B143" s="14">
        <v>1</v>
      </c>
      <c r="C143" s="29" t="s">
        <v>337</v>
      </c>
      <c r="D143" s="14" t="s">
        <v>67</v>
      </c>
      <c r="E143" s="14" t="s">
        <v>30</v>
      </c>
      <c r="F143" s="14" t="s">
        <v>141</v>
      </c>
      <c r="G143" s="14" t="s">
        <v>338</v>
      </c>
      <c r="H143" s="14" t="s">
        <v>139</v>
      </c>
      <c r="I143" s="14" t="s">
        <v>149</v>
      </c>
      <c r="J143" s="14" t="s">
        <v>339</v>
      </c>
      <c r="K143" s="39">
        <v>45129</v>
      </c>
      <c r="L143" s="37">
        <v>16</v>
      </c>
      <c r="M143" s="37">
        <v>0</v>
      </c>
      <c r="N143" s="14">
        <v>1999</v>
      </c>
    </row>
    <row r="144" ht="18" spans="1:14">
      <c r="A144" s="14">
        <v>143</v>
      </c>
      <c r="B144" s="14">
        <v>1</v>
      </c>
      <c r="C144" s="29" t="s">
        <v>234</v>
      </c>
      <c r="D144" s="14" t="s">
        <v>290</v>
      </c>
      <c r="E144" s="14" t="s">
        <v>30</v>
      </c>
      <c r="F144" s="14" t="s">
        <v>141</v>
      </c>
      <c r="G144" s="14" t="s">
        <v>338</v>
      </c>
      <c r="H144" s="14" t="s">
        <v>139</v>
      </c>
      <c r="I144" s="14" t="s">
        <v>149</v>
      </c>
      <c r="J144" s="14" t="s">
        <v>292</v>
      </c>
      <c r="K144" s="39">
        <v>45129</v>
      </c>
      <c r="L144" s="37">
        <v>16</v>
      </c>
      <c r="M144" s="37">
        <v>0</v>
      </c>
      <c r="N144" s="14">
        <v>1999</v>
      </c>
    </row>
    <row r="145" ht="18" spans="1:14">
      <c r="A145" s="14">
        <v>144</v>
      </c>
      <c r="B145" s="14">
        <v>1</v>
      </c>
      <c r="C145" s="29" t="s">
        <v>340</v>
      </c>
      <c r="D145" s="14" t="s">
        <v>67</v>
      </c>
      <c r="E145" s="14" t="s">
        <v>57</v>
      </c>
      <c r="F145" s="14" t="s">
        <v>141</v>
      </c>
      <c r="G145" s="14" t="s">
        <v>338</v>
      </c>
      <c r="H145" s="14" t="s">
        <v>139</v>
      </c>
      <c r="I145" s="14" t="s">
        <v>149</v>
      </c>
      <c r="J145" s="14" t="s">
        <v>219</v>
      </c>
      <c r="K145" s="39">
        <v>45134</v>
      </c>
      <c r="L145" s="37">
        <v>16</v>
      </c>
      <c r="M145" s="37">
        <v>0</v>
      </c>
      <c r="N145" s="14">
        <v>1999</v>
      </c>
    </row>
    <row r="146" ht="18" spans="1:14">
      <c r="A146" s="14">
        <v>145</v>
      </c>
      <c r="B146" s="14">
        <v>1</v>
      </c>
      <c r="C146" s="32" t="s">
        <v>341</v>
      </c>
      <c r="D146" s="14" t="s">
        <v>67</v>
      </c>
      <c r="E146" s="14" t="s">
        <v>30</v>
      </c>
      <c r="F146" s="14" t="s">
        <v>141</v>
      </c>
      <c r="G146" s="14" t="s">
        <v>342</v>
      </c>
      <c r="H146" s="14" t="s">
        <v>139</v>
      </c>
      <c r="I146" s="14" t="s">
        <v>149</v>
      </c>
      <c r="J146" s="14" t="s">
        <v>343</v>
      </c>
      <c r="K146" s="39">
        <v>45137</v>
      </c>
      <c r="L146" s="37">
        <v>50</v>
      </c>
      <c r="M146" s="37">
        <v>4</v>
      </c>
      <c r="N146" s="14">
        <v>6750</v>
      </c>
    </row>
    <row r="147" ht="18" spans="1:14">
      <c r="A147" s="14">
        <v>146</v>
      </c>
      <c r="B147" s="14">
        <v>1</v>
      </c>
      <c r="C147" s="29" t="s">
        <v>344</v>
      </c>
      <c r="D147" s="14" t="s">
        <v>67</v>
      </c>
      <c r="E147" s="14" t="s">
        <v>90</v>
      </c>
      <c r="F147" s="14" t="s">
        <v>134</v>
      </c>
      <c r="G147" s="14" t="s">
        <v>258</v>
      </c>
      <c r="H147" s="14" t="s">
        <v>259</v>
      </c>
      <c r="I147" s="14" t="s">
        <v>149</v>
      </c>
      <c r="J147" s="14" t="s">
        <v>150</v>
      </c>
      <c r="K147" s="39">
        <v>45137</v>
      </c>
      <c r="L147" s="37">
        <v>25</v>
      </c>
      <c r="M147" s="37">
        <v>1</v>
      </c>
      <c r="N147" s="14">
        <v>3800</v>
      </c>
    </row>
    <row r="148" ht="18" spans="1:14">
      <c r="A148" s="14">
        <v>147</v>
      </c>
      <c r="B148" s="14">
        <v>1</v>
      </c>
      <c r="C148" s="29" t="s">
        <v>345</v>
      </c>
      <c r="D148" s="14" t="s">
        <v>67</v>
      </c>
      <c r="E148" s="14" t="s">
        <v>30</v>
      </c>
      <c r="F148" s="14" t="s">
        <v>246</v>
      </c>
      <c r="G148" s="14" t="s">
        <v>346</v>
      </c>
      <c r="H148" s="14" t="s">
        <v>302</v>
      </c>
      <c r="I148" s="14" t="s">
        <v>149</v>
      </c>
      <c r="J148" s="14" t="s">
        <v>327</v>
      </c>
      <c r="K148" s="39">
        <v>45138</v>
      </c>
      <c r="L148" s="37">
        <v>18</v>
      </c>
      <c r="M148" s="37">
        <v>0</v>
      </c>
      <c r="N148" s="14">
        <v>1580</v>
      </c>
    </row>
    <row r="149" ht="18" spans="1:14">
      <c r="A149" s="14">
        <v>148</v>
      </c>
      <c r="B149" s="14">
        <v>1</v>
      </c>
      <c r="C149" s="29" t="s">
        <v>345</v>
      </c>
      <c r="D149" s="14" t="s">
        <v>67</v>
      </c>
      <c r="E149" s="14" t="s">
        <v>30</v>
      </c>
      <c r="F149" s="14" t="s">
        <v>141</v>
      </c>
      <c r="G149" s="14" t="s">
        <v>80</v>
      </c>
      <c r="H149" s="14" t="s">
        <v>139</v>
      </c>
      <c r="I149" s="14" t="s">
        <v>149</v>
      </c>
      <c r="J149" s="14" t="s">
        <v>327</v>
      </c>
      <c r="K149" s="39">
        <v>45138</v>
      </c>
      <c r="L149" s="37">
        <v>16</v>
      </c>
      <c r="M149" s="37">
        <v>0</v>
      </c>
      <c r="N149" s="14">
        <f>3999-N148</f>
        <v>2419</v>
      </c>
    </row>
    <row r="150" ht="18" spans="1:14">
      <c r="A150" s="40">
        <v>149</v>
      </c>
      <c r="B150" s="40">
        <v>1</v>
      </c>
      <c r="C150" s="41" t="s">
        <v>347</v>
      </c>
      <c r="D150" s="40" t="s">
        <v>67</v>
      </c>
      <c r="E150" s="40" t="s">
        <v>30</v>
      </c>
      <c r="F150" s="40" t="s">
        <v>127</v>
      </c>
      <c r="G150" s="40" t="s">
        <v>294</v>
      </c>
      <c r="H150" s="40" t="s">
        <v>302</v>
      </c>
      <c r="I150" s="40" t="s">
        <v>130</v>
      </c>
      <c r="J150" s="40" t="s">
        <v>131</v>
      </c>
      <c r="K150" s="43">
        <v>45139</v>
      </c>
      <c r="L150" s="44">
        <v>18</v>
      </c>
      <c r="M150" s="44">
        <v>0</v>
      </c>
      <c r="N150" s="40">
        <v>1580</v>
      </c>
    </row>
    <row r="151" ht="18" spans="1:14">
      <c r="A151" s="40">
        <v>150</v>
      </c>
      <c r="B151" s="40">
        <v>1</v>
      </c>
      <c r="C151" s="42" t="s">
        <v>348</v>
      </c>
      <c r="D151" s="40" t="s">
        <v>67</v>
      </c>
      <c r="E151" s="40" t="s">
        <v>30</v>
      </c>
      <c r="F151" s="40" t="s">
        <v>127</v>
      </c>
      <c r="G151" s="40" t="s">
        <v>349</v>
      </c>
      <c r="H151" s="40" t="s">
        <v>302</v>
      </c>
      <c r="I151" s="40" t="s">
        <v>130</v>
      </c>
      <c r="J151" s="40" t="s">
        <v>155</v>
      </c>
      <c r="K151" s="43">
        <v>45139</v>
      </c>
      <c r="L151" s="44">
        <v>18</v>
      </c>
      <c r="M151" s="44">
        <v>0</v>
      </c>
      <c r="N151" s="40">
        <v>1580</v>
      </c>
    </row>
    <row r="152" ht="17.6" spans="1:14">
      <c r="A152" s="40">
        <v>151</v>
      </c>
      <c r="B152" s="40">
        <v>1</v>
      </c>
      <c r="C152" s="40" t="s">
        <v>350</v>
      </c>
      <c r="D152" s="40" t="s">
        <v>67</v>
      </c>
      <c r="E152" s="40" t="s">
        <v>30</v>
      </c>
      <c r="F152" s="40" t="s">
        <v>141</v>
      </c>
      <c r="G152" s="40" t="s">
        <v>80</v>
      </c>
      <c r="H152" s="40" t="s">
        <v>139</v>
      </c>
      <c r="I152" s="40" t="s">
        <v>149</v>
      </c>
      <c r="J152" s="40" t="s">
        <v>160</v>
      </c>
      <c r="K152" s="43">
        <v>45142</v>
      </c>
      <c r="L152" s="44">
        <v>16</v>
      </c>
      <c r="M152" s="44">
        <v>0</v>
      </c>
      <c r="N152" s="40">
        <v>1999</v>
      </c>
    </row>
    <row r="153" ht="17.6" spans="1:14">
      <c r="A153" s="40">
        <v>152</v>
      </c>
      <c r="B153" s="40">
        <v>1</v>
      </c>
      <c r="C153" s="40" t="s">
        <v>351</v>
      </c>
      <c r="D153" s="40" t="s">
        <v>67</v>
      </c>
      <c r="E153" s="40" t="s">
        <v>30</v>
      </c>
      <c r="F153" s="40" t="s">
        <v>127</v>
      </c>
      <c r="G153" s="40" t="s">
        <v>349</v>
      </c>
      <c r="H153" s="40" t="s">
        <v>302</v>
      </c>
      <c r="I153" s="40" t="s">
        <v>130</v>
      </c>
      <c r="J153" s="40" t="s">
        <v>235</v>
      </c>
      <c r="K153" s="43">
        <v>45148</v>
      </c>
      <c r="L153" s="44">
        <v>18</v>
      </c>
      <c r="M153" s="44">
        <v>0</v>
      </c>
      <c r="N153" s="40">
        <v>1580</v>
      </c>
    </row>
    <row r="154" ht="17.6" spans="1:14">
      <c r="A154" s="40">
        <v>153</v>
      </c>
      <c r="B154" s="40">
        <v>1</v>
      </c>
      <c r="C154" s="40" t="s">
        <v>296</v>
      </c>
      <c r="D154" s="40" t="s">
        <v>29</v>
      </c>
      <c r="E154" s="40" t="s">
        <v>30</v>
      </c>
      <c r="F154" s="40" t="s">
        <v>134</v>
      </c>
      <c r="G154" s="40" t="s">
        <v>80</v>
      </c>
      <c r="H154" s="40" t="s">
        <v>53</v>
      </c>
      <c r="I154" s="40" t="s">
        <v>149</v>
      </c>
      <c r="J154" s="40" t="s">
        <v>265</v>
      </c>
      <c r="K154" s="43">
        <v>45156</v>
      </c>
      <c r="L154" s="44">
        <v>16</v>
      </c>
      <c r="M154" s="44">
        <v>0</v>
      </c>
      <c r="N154" s="40">
        <v>1879</v>
      </c>
    </row>
    <row r="155" ht="17.6" spans="1:14">
      <c r="A155" s="40">
        <v>154</v>
      </c>
      <c r="B155" s="40">
        <v>1</v>
      </c>
      <c r="C155" s="40" t="s">
        <v>352</v>
      </c>
      <c r="D155" s="40" t="s">
        <v>67</v>
      </c>
      <c r="E155" s="40" t="s">
        <v>30</v>
      </c>
      <c r="F155" s="40" t="s">
        <v>127</v>
      </c>
      <c r="G155" s="40" t="s">
        <v>294</v>
      </c>
      <c r="H155" s="40" t="s">
        <v>53</v>
      </c>
      <c r="I155" s="40" t="s">
        <v>130</v>
      </c>
      <c r="J155" s="40" t="s">
        <v>265</v>
      </c>
      <c r="K155" s="43">
        <v>45156</v>
      </c>
      <c r="L155" s="44">
        <v>16</v>
      </c>
      <c r="M155" s="44">
        <v>0</v>
      </c>
      <c r="N155" s="40">
        <v>1799</v>
      </c>
    </row>
    <row r="156" ht="17.6" spans="1:14">
      <c r="A156" s="40">
        <v>155</v>
      </c>
      <c r="B156" s="40">
        <v>1</v>
      </c>
      <c r="C156" s="40" t="s">
        <v>333</v>
      </c>
      <c r="D156" s="40" t="s">
        <v>29</v>
      </c>
      <c r="E156" s="40" t="s">
        <v>30</v>
      </c>
      <c r="F156" s="40" t="s">
        <v>315</v>
      </c>
      <c r="G156" s="40" t="s">
        <v>294</v>
      </c>
      <c r="H156" s="40" t="s">
        <v>53</v>
      </c>
      <c r="I156" s="40" t="s">
        <v>143</v>
      </c>
      <c r="J156" s="40" t="s">
        <v>215</v>
      </c>
      <c r="K156" s="43">
        <v>45157</v>
      </c>
      <c r="L156" s="44">
        <v>41</v>
      </c>
      <c r="M156" s="44">
        <v>4</v>
      </c>
      <c r="N156" s="40">
        <v>5149</v>
      </c>
    </row>
    <row r="157" ht="17.6" spans="1:14">
      <c r="A157" s="40">
        <v>156</v>
      </c>
      <c r="B157" s="40">
        <v>1</v>
      </c>
      <c r="C157" s="40" t="s">
        <v>353</v>
      </c>
      <c r="D157" s="40" t="s">
        <v>67</v>
      </c>
      <c r="E157" s="40" t="s">
        <v>57</v>
      </c>
      <c r="F157" s="40" t="s">
        <v>141</v>
      </c>
      <c r="G157" s="40" t="s">
        <v>354</v>
      </c>
      <c r="H157" s="40" t="s">
        <v>60</v>
      </c>
      <c r="I157" s="40" t="s">
        <v>149</v>
      </c>
      <c r="J157" s="40" t="s">
        <v>235</v>
      </c>
      <c r="K157" s="43">
        <v>45157</v>
      </c>
      <c r="L157" s="44">
        <v>50</v>
      </c>
      <c r="M157" s="44">
        <v>0</v>
      </c>
      <c r="N157" s="40">
        <v>6750</v>
      </c>
    </row>
    <row r="158" ht="17.6" spans="1:14">
      <c r="A158" s="40">
        <v>157</v>
      </c>
      <c r="B158" s="40">
        <v>1</v>
      </c>
      <c r="C158" s="40" t="s">
        <v>201</v>
      </c>
      <c r="D158" s="40" t="s">
        <v>290</v>
      </c>
      <c r="E158" s="40" t="s">
        <v>30</v>
      </c>
      <c r="F158" s="40" t="s">
        <v>127</v>
      </c>
      <c r="G158" s="40" t="s">
        <v>178</v>
      </c>
      <c r="H158" s="40" t="s">
        <v>53</v>
      </c>
      <c r="I158" s="40" t="s">
        <v>130</v>
      </c>
      <c r="J158" s="40" t="s">
        <v>355</v>
      </c>
      <c r="K158" s="43">
        <v>45161</v>
      </c>
      <c r="L158" s="40">
        <v>16</v>
      </c>
      <c r="M158" s="40">
        <v>0</v>
      </c>
      <c r="N158" s="40">
        <v>1799</v>
      </c>
    </row>
    <row r="159" ht="17.6" spans="1:14">
      <c r="A159" s="40">
        <v>158</v>
      </c>
      <c r="B159" s="40">
        <v>1</v>
      </c>
      <c r="C159" s="40" t="s">
        <v>227</v>
      </c>
      <c r="D159" s="40" t="s">
        <v>290</v>
      </c>
      <c r="E159" s="40" t="s">
        <v>30</v>
      </c>
      <c r="F159" s="40" t="s">
        <v>141</v>
      </c>
      <c r="G159" s="40"/>
      <c r="H159" s="40" t="s">
        <v>53</v>
      </c>
      <c r="I159" s="40" t="s">
        <v>149</v>
      </c>
      <c r="J159" s="40" t="s">
        <v>355</v>
      </c>
      <c r="K159" s="43">
        <v>45162</v>
      </c>
      <c r="L159" s="40">
        <v>16</v>
      </c>
      <c r="M159" s="40">
        <v>0</v>
      </c>
      <c r="N159" s="40">
        <v>1799</v>
      </c>
    </row>
    <row r="160" ht="17.6" spans="1:14">
      <c r="A160" s="40">
        <v>159</v>
      </c>
      <c r="B160" s="40">
        <v>1</v>
      </c>
      <c r="C160" s="40" t="s">
        <v>356</v>
      </c>
      <c r="D160" s="40" t="s">
        <v>67</v>
      </c>
      <c r="E160" s="40" t="s">
        <v>30</v>
      </c>
      <c r="F160" s="40" t="s">
        <v>141</v>
      </c>
      <c r="G160" s="40"/>
      <c r="H160" s="40" t="s">
        <v>53</v>
      </c>
      <c r="I160" s="40" t="s">
        <v>149</v>
      </c>
      <c r="J160" s="40" t="s">
        <v>150</v>
      </c>
      <c r="K160" s="43">
        <v>45163</v>
      </c>
      <c r="L160" s="40">
        <v>25</v>
      </c>
      <c r="M160" s="40">
        <v>0</v>
      </c>
      <c r="N160" s="40">
        <v>3800</v>
      </c>
    </row>
  </sheetData>
  <mergeCells count="2">
    <mergeCell ref="N5:N6"/>
    <mergeCell ref="N7:N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浦东报名情况至8.31前</vt:lpstr>
      <vt:lpstr>闵行报名情况至8.31前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2023-08-24T23:10:00Z</dcterms:created>
  <dcterms:modified xsi:type="dcterms:W3CDTF">2023-09-01T15:21:07Z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F59DCDABE54A87766602E764793B4414_41</vt:lpwstr>
  </property>
  <property fmtid="{D5CDD505-2E9C-101B-9397-08002B2CF9AE}" pid="3" name="KSOProductBuildVer">
    <vt:lpwstr>2052-5.5.1.7991</vt:lpwstr>
  </property>
</Properties>
</file>