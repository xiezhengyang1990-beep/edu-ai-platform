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bookViews>
    <workbookView xWindow="1440" yWindow="2180" windowWidth="24160" windowHeight="1382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6" i="1" l="1"/>
  <c r="L36" i="1"/>
  <c r="K36" i="1"/>
  <c r="S21" i="1"/>
  <c r="M21" i="1"/>
  <c r="S28" i="1"/>
  <c r="S32" i="1"/>
  <c r="G35" i="1"/>
  <c r="Y14" i="1"/>
  <c r="Y18" i="1"/>
  <c r="H35" i="1"/>
  <c r="I35" i="1"/>
  <c r="F35" i="1"/>
  <c r="E35" i="1"/>
  <c r="D35" i="1"/>
  <c r="J5" i="1"/>
  <c r="J6" i="1"/>
  <c r="J7" i="1"/>
  <c r="J10" i="1"/>
  <c r="B35" i="1"/>
  <c r="Q28" i="1"/>
  <c r="P28" i="1"/>
  <c r="R28" i="1"/>
  <c r="R32" i="1"/>
  <c r="Q32" i="1"/>
  <c r="P32" i="1"/>
  <c r="O28" i="1"/>
  <c r="O32" i="1"/>
  <c r="N28" i="1"/>
  <c r="N32" i="1"/>
  <c r="M32" i="1"/>
  <c r="L32" i="1"/>
  <c r="K32" i="1"/>
  <c r="J32" i="1"/>
  <c r="I32" i="1"/>
  <c r="H32" i="1"/>
  <c r="G32" i="1"/>
  <c r="F28" i="1"/>
  <c r="F32" i="1"/>
  <c r="E32" i="1"/>
  <c r="D32" i="1"/>
  <c r="C32" i="1"/>
  <c r="B32" i="1"/>
  <c r="S25" i="1"/>
  <c r="R21" i="1"/>
  <c r="R25" i="1"/>
  <c r="Q25" i="1"/>
  <c r="P25" i="1"/>
  <c r="O25" i="1"/>
  <c r="N25" i="1"/>
  <c r="M25" i="1"/>
  <c r="L21" i="1"/>
  <c r="L25" i="1"/>
  <c r="K25" i="1"/>
  <c r="J25" i="1"/>
  <c r="I25" i="1"/>
  <c r="H25" i="1"/>
  <c r="G25" i="1"/>
  <c r="F21" i="1"/>
  <c r="F25" i="1"/>
  <c r="E25" i="1"/>
  <c r="D25" i="1"/>
  <c r="C25" i="1"/>
  <c r="B25" i="1"/>
  <c r="W18" i="1"/>
  <c r="V18" i="1"/>
  <c r="U18" i="1"/>
  <c r="T18" i="1"/>
  <c r="S18" i="1"/>
  <c r="Q18" i="1"/>
  <c r="P18" i="1"/>
  <c r="N18" i="1"/>
  <c r="X17" i="1"/>
  <c r="R17" i="1"/>
  <c r="X16" i="1"/>
  <c r="R16" i="1"/>
  <c r="X15" i="1"/>
  <c r="R15" i="1"/>
  <c r="X14" i="1"/>
  <c r="R14" i="1"/>
  <c r="X13" i="1"/>
  <c r="R13" i="1"/>
  <c r="H5" i="1"/>
  <c r="O5" i="1"/>
  <c r="O6" i="1"/>
  <c r="H7" i="1"/>
  <c r="O7" i="1"/>
  <c r="O8" i="1"/>
  <c r="O9" i="1"/>
  <c r="O10" i="1"/>
  <c r="M10" i="1"/>
  <c r="N10" i="1"/>
  <c r="H10" i="1"/>
  <c r="G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<sst xmlns="http://schemas.openxmlformats.org/spreadsheetml/2006/main" count="149" uniqueCount="64">
  <si>
    <t>CC（总业绩情况）</t>
    <rPh sb="3" eb="4">
      <t>zong ye ji</t>
    </rPh>
    <rPh sb="6" eb="7">
      <t>qing kuang</t>
    </rPh>
    <phoneticPr fontId="5" type="noConversion"/>
  </si>
  <si>
    <t>月度</t>
  </si>
  <si>
    <t>第一周（1-6）</t>
  </si>
  <si>
    <t>第二周（7-13）</t>
  </si>
  <si>
    <t>第三周（14-20）</t>
    <rPh sb="1" eb="2">
      <t>san</t>
    </rPh>
    <phoneticPr fontId="5" type="noConversion"/>
  </si>
  <si>
    <t>第四周（21-27）</t>
  </si>
  <si>
    <t>第五周（21-27）</t>
    <rPh sb="1" eb="2">
      <t>wu</t>
    </rPh>
    <phoneticPr fontId="5" type="noConversion"/>
  </si>
  <si>
    <t>累计业绩</t>
  </si>
  <si>
    <t>完成率</t>
  </si>
  <si>
    <t>总业绩</t>
  </si>
  <si>
    <t>目标</t>
  </si>
  <si>
    <t>完成</t>
  </si>
  <si>
    <t>周勇</t>
    <rPh sb="0" eb="1">
      <t>zhou yong</t>
    </rPh>
    <phoneticPr fontId="5" type="noConversion"/>
  </si>
  <si>
    <t>/</t>
    <phoneticPr fontId="5" type="noConversion"/>
  </si>
  <si>
    <t>杨海波</t>
    <rPh sb="0" eb="1">
      <t>yang hai bo</t>
    </rPh>
    <phoneticPr fontId="5" type="noConversion"/>
  </si>
  <si>
    <t>祝萧倩</t>
    <rPh sb="0" eb="1">
      <t>zhu xiao qian</t>
    </rPh>
    <phoneticPr fontId="5" type="noConversion"/>
  </si>
  <si>
    <t>高芬</t>
    <phoneticPr fontId="5" type="noConversion"/>
  </si>
  <si>
    <t>金成</t>
    <rPh sb="0" eb="1">
      <t>jin cheng</t>
    </rPh>
    <phoneticPr fontId="5" type="noConversion"/>
  </si>
  <si>
    <t>合计</t>
  </si>
  <si>
    <t>CC（线下业绩情况）</t>
    <rPh sb="3" eb="4">
      <t>xian xia</t>
    </rPh>
    <rPh sb="5" eb="6">
      <t>ye ji</t>
    </rPh>
    <rPh sb="7" eb="8">
      <t>qing kuang</t>
    </rPh>
    <phoneticPr fontId="5" type="noConversion"/>
  </si>
  <si>
    <t>第三周（14-20）</t>
  </si>
  <si>
    <t>第四周</t>
    <rPh sb="0" eb="1">
      <t>di si zhou</t>
    </rPh>
    <phoneticPr fontId="4" type="noConversion"/>
  </si>
  <si>
    <t>电话总数</t>
  </si>
  <si>
    <t>邀约数</t>
  </si>
  <si>
    <t>到访数</t>
  </si>
  <si>
    <t>签约数 </t>
  </si>
  <si>
    <t>签约率 </t>
  </si>
  <si>
    <t>业绩 </t>
  </si>
  <si>
    <t>签约数</t>
  </si>
  <si>
    <t>祝霄倩</t>
    <rPh sb="0" eb="1">
      <t>zhu xiao qian</t>
    </rPh>
    <rPh sb="1" eb="2">
      <t>xiao</t>
    </rPh>
    <phoneticPr fontId="5" type="noConversion"/>
  </si>
  <si>
    <t>CC（线上业绩情况）</t>
    <rPh sb="3" eb="4">
      <t>xian shang</t>
    </rPh>
    <rPh sb="5" eb="6">
      <t>ye ji</t>
    </rPh>
    <rPh sb="7" eb="8">
      <t>qing kuang</t>
    </rPh>
    <phoneticPr fontId="5" type="noConversion"/>
  </si>
  <si>
    <t>Leads数</t>
  </si>
  <si>
    <t>邀约量</t>
  </si>
  <si>
    <t>到访量</t>
  </si>
  <si>
    <t>签单数</t>
  </si>
  <si>
    <t>STP</t>
    <phoneticPr fontId="5" type="noConversion"/>
  </si>
  <si>
    <t>签单金额</t>
  </si>
  <si>
    <t>大众点评/美团</t>
  </si>
  <si>
    <t>walk in</t>
  </si>
  <si>
    <t>转介绍</t>
  </si>
  <si>
    <t>顾问拉访</t>
  </si>
  <si>
    <t>主动渠道总计</t>
  </si>
  <si>
    <t>渠道</t>
  </si>
  <si>
    <t>高芬</t>
  </si>
  <si>
    <t>合计</t>
    <rPh sb="0" eb="1">
      <t>he ji</t>
    </rPh>
    <phoneticPr fontId="5" type="noConversion"/>
  </si>
  <si>
    <t>合计</t>
    <rPh sb="0" eb="1">
      <t>he ji</t>
    </rPh>
    <phoneticPr fontId="4" type="noConversion"/>
  </si>
  <si>
    <t>汇报问题</t>
    <rPh sb="0" eb="1">
      <t>hui bao</t>
    </rPh>
    <rPh sb="2" eb="3">
      <t>wen ti</t>
    </rPh>
    <phoneticPr fontId="5" type="noConversion"/>
  </si>
  <si>
    <t>课程均价</t>
    <rPh sb="0" eb="1">
      <t>ke cheng</t>
    </rPh>
    <rPh sb="2" eb="3">
      <t>jun jia</t>
    </rPh>
    <phoneticPr fontId="5" type="noConversion"/>
  </si>
  <si>
    <t>本周单数</t>
    <rPh sb="0" eb="1">
      <t>ben zhou</t>
    </rPh>
    <rPh sb="2" eb="3">
      <t>dan shu</t>
    </rPh>
    <phoneticPr fontId="5" type="noConversion"/>
  </si>
  <si>
    <t>综合转化率</t>
    <rPh sb="0" eb="1">
      <t>zong he</t>
    </rPh>
    <rPh sb="2" eb="3">
      <t>zhuan hua lü</t>
    </rPh>
    <phoneticPr fontId="5" type="noConversion"/>
  </si>
  <si>
    <t>综合邀约率</t>
    <rPh sb="0" eb="1">
      <t>zong he</t>
    </rPh>
    <rPh sb="2" eb="3">
      <t>yao yue llv</t>
    </rPh>
    <phoneticPr fontId="5" type="noConversion"/>
  </si>
  <si>
    <t>综合到访率</t>
    <rPh sb="0" eb="1">
      <t>zong he</t>
    </rPh>
    <phoneticPr fontId="5" type="noConversion"/>
  </si>
  <si>
    <t>线上业绩</t>
    <rPh sb="0" eb="1">
      <t>xian shang</t>
    </rPh>
    <rPh sb="2" eb="3">
      <t>ye ji</t>
    </rPh>
    <phoneticPr fontId="5" type="noConversion"/>
  </si>
  <si>
    <t>线下业绩</t>
    <rPh sb="0" eb="1">
      <t>xian xia</t>
    </rPh>
    <rPh sb="2" eb="3">
      <t>ye ji</t>
    </rPh>
    <phoneticPr fontId="5" type="noConversion"/>
  </si>
  <si>
    <t>祝霄倩</t>
    <rPh sb="0" eb="1">
      <t>zhu xiao qian</t>
    </rPh>
    <phoneticPr fontId="4" type="noConversion"/>
  </si>
  <si>
    <t>周勇</t>
    <rPh sb="0" eb="1">
      <t>zhou yong</t>
    </rPh>
    <phoneticPr fontId="4" type="noConversion"/>
  </si>
  <si>
    <t>杨海波</t>
    <rPh sb="0" eb="1">
      <t>yang hai bo</t>
    </rPh>
    <phoneticPr fontId="4" type="noConversion"/>
  </si>
  <si>
    <t>高芬</t>
    <rPh sb="0" eb="1">
      <t>gao fen</t>
    </rPh>
    <phoneticPr fontId="4" type="noConversion"/>
  </si>
  <si>
    <t>1.上周leads总数，详见表1+2</t>
    <rPh sb="2" eb="3">
      <t>shang zhou</t>
    </rPh>
    <rPh sb="9" eb="10">
      <t>zong shu</t>
    </rPh>
    <rPh sb="12" eb="13">
      <t>xiang jian</t>
    </rPh>
    <rPh sb="14" eb="15">
      <t>biao</t>
    </rPh>
    <phoneticPr fontId="5" type="noConversion"/>
  </si>
  <si>
    <t>涨价前成单数</t>
    <rPh sb="0" eb="1">
      <t>zhang jia qian</t>
    </rPh>
    <phoneticPr fontId="4" type="noConversion"/>
  </si>
  <si>
    <t>2.上周新增leads，详见表1+2</t>
    <rPh sb="2" eb="3">
      <t>shang zhou</t>
    </rPh>
    <rPh sb="4" eb="5">
      <t>xin zeng</t>
    </rPh>
    <rPh sb="12" eb="13">
      <t>xiang jian</t>
    </rPh>
    <rPh sb="14" eb="15">
      <t>biao</t>
    </rPh>
    <phoneticPr fontId="5" type="noConversion"/>
  </si>
  <si>
    <t>涨价后成单数</t>
    <rPh sb="0" eb="1">
      <t>zhang jia hou</t>
    </rPh>
    <rPh sb="3" eb="4">
      <t>cheng dan shu</t>
    </rPh>
    <phoneticPr fontId="4" type="noConversion"/>
  </si>
  <si>
    <t>3.上周体验课系统约课数。12人，总到访7人</t>
    <rPh sb="2" eb="3">
      <t>shang zhou</t>
    </rPh>
    <rPh sb="4" eb="5">
      <t>ti yan ke</t>
    </rPh>
    <rPh sb="7" eb="8">
      <t>xi tong</t>
    </rPh>
    <rPh sb="9" eb="10">
      <t>yue ke</t>
    </rPh>
    <rPh sb="11" eb="12">
      <t>shu</t>
    </rPh>
    <rPh sb="15" eb="16">
      <t>ren</t>
    </rPh>
    <rPh sb="17" eb="18">
      <t>zong dao fang</t>
    </rPh>
    <rPh sb="21" eb="22">
      <t>ren</t>
    </rPh>
    <phoneticPr fontId="5" type="noConversion"/>
  </si>
  <si>
    <t>第四周周业绩概况</t>
    <rPh sb="0" eb="1">
      <t>di san zhou</t>
    </rPh>
    <rPh sb="1" eb="2">
      <t>si zhou</t>
    </rPh>
    <rPh sb="4" eb="5">
      <t>ye ji</t>
    </rPh>
    <rPh sb="6" eb="7">
      <t>gai kuang</t>
    </rPh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</si>
</sst>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2" x14ac:knownFonts="1">
    <font>
      <sz val="12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sz val="12"/>
      <name val="宋体"/>
      <family val="3"/>
      <charset val="134"/>
    </font>
    <font>
      <b/>
      <sz val="12"/>
      <color rgb="FFFFFFFF"/>
      <name val="DengXian"/>
      <family val="3"/>
      <charset val="134"/>
      <scheme val="minor"/>
    </font>
    <font>
      <sz val="9"/>
      <name val="DengXian"/>
      <family val="2"/>
      <charset val="134"/>
      <scheme val="minor"/>
    </font>
    <font>
      <sz val="9"/>
      <name val="宋体"/>
      <family val="3"/>
      <charset val="134"/>
    </font>
    <font>
      <sz val="12"/>
      <name val="DengXian"/>
      <family val="3"/>
      <charset val="134"/>
      <scheme val="minor"/>
    </font>
    <font>
      <sz val="12"/>
      <color rgb="FF000000"/>
      <name val="DengXian"/>
      <family val="3"/>
      <charset val="134"/>
      <scheme val="minor"/>
    </font>
    <font>
      <sz val="11"/>
      <color rgb="FF000000"/>
      <name val="Microsoft YaHei"/>
      <family val="3"/>
      <charset val="134"/>
    </font>
    <font>
      <sz val="12"/>
      <color rgb="FF000000"/>
      <name val="SimSun"/>
      <family val="3"/>
      <charset val="134"/>
    </font>
    <font>
      <b/>
      <sz val="11"/>
      <color rgb="FF000000"/>
      <name val="Microsoft YaHei"/>
      <family val="3"/>
      <charset val="134"/>
    </font>
    <font>
      <sz val="12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31859C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F3C3"/>
        <bgColor indexed="64"/>
      </patternFill>
    </fill>
    <fill>
      <patternFill patternType="solid">
        <fgColor rgb="FFCDE0E8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center"/>
    </xf>
  </cellStyleXfs>
  <cellXfs count="42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6" fillId="4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top" wrapText="1"/>
    </xf>
    <xf numFmtId="9" fontId="7" fillId="6" borderId="1" xfId="1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9" fontId="6" fillId="4" borderId="2" xfId="1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top" wrapText="1"/>
    </xf>
    <xf numFmtId="9" fontId="7" fillId="6" borderId="1" xfId="2" applyNumberFormat="1" applyFont="1" applyFill="1" applyBorder="1" applyAlignment="1">
      <alignment horizontal="center" vertical="top" wrapText="1"/>
    </xf>
    <xf numFmtId="9" fontId="7" fillId="6" borderId="1" xfId="1" applyFont="1" applyFill="1" applyBorder="1" applyAlignment="1">
      <alignment horizontal="center" vertical="top" wrapText="1"/>
    </xf>
    <xf numFmtId="176" fontId="7" fillId="6" borderId="1" xfId="2" applyNumberFormat="1" applyFont="1" applyFill="1" applyBorder="1" applyAlignment="1">
      <alignment horizontal="center" vertical="top" wrapText="1"/>
    </xf>
    <xf numFmtId="0" fontId="7" fillId="4" borderId="1" xfId="2" applyFont="1" applyFill="1" applyBorder="1" applyAlignment="1">
      <alignment horizontal="center" vertical="top" wrapText="1"/>
    </xf>
    <xf numFmtId="9" fontId="7" fillId="4" borderId="1" xfId="2" applyNumberFormat="1" applyFont="1" applyFill="1" applyBorder="1" applyAlignment="1">
      <alignment horizontal="center" vertical="top" wrapText="1"/>
    </xf>
    <xf numFmtId="9" fontId="7" fillId="4" borderId="1" xfId="2" applyNumberFormat="1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9" fillId="8" borderId="1" xfId="2" applyFont="1" applyFill="1" applyBorder="1" applyAlignment="1">
      <alignment horizontal="center" vertical="center"/>
    </xf>
    <xf numFmtId="0" fontId="7" fillId="8" borderId="1" xfId="2" applyFont="1" applyFill="1" applyBorder="1" applyAlignment="1">
      <alignment horizontal="center" vertical="center"/>
    </xf>
    <xf numFmtId="0" fontId="7" fillId="8" borderId="1" xfId="2" applyFont="1" applyFill="1" applyBorder="1" applyAlignment="1">
      <alignment horizontal="center" vertical="center" wrapText="1"/>
    </xf>
    <xf numFmtId="0" fontId="9" fillId="8" borderId="1" xfId="2" applyFont="1" applyFill="1" applyBorder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10" fillId="9" borderId="1" xfId="2" applyFont="1" applyFill="1" applyBorder="1" applyAlignment="1">
      <alignment horizontal="center" vertical="center" wrapText="1"/>
    </xf>
    <xf numFmtId="0" fontId="7" fillId="9" borderId="1" xfId="2" applyFont="1" applyFill="1" applyBorder="1" applyAlignment="1">
      <alignment horizontal="center" vertical="center"/>
    </xf>
    <xf numFmtId="9" fontId="7" fillId="9" borderId="1" xfId="1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center" vertical="center" wrapText="1"/>
    </xf>
    <xf numFmtId="0" fontId="0" fillId="0" borderId="0" xfId="2" applyFont="1" applyAlignment="1">
      <alignment vertical="center" wrapText="1"/>
    </xf>
    <xf numFmtId="0" fontId="11" fillId="0" borderId="3" xfId="2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0" fontId="0" fillId="0" borderId="1" xfId="2" applyFont="1" applyBorder="1" applyAlignment="1">
      <alignment vertical="center" wrapText="1"/>
    </xf>
    <xf numFmtId="0" fontId="2" fillId="0" borderId="1" xfId="2" applyBorder="1">
      <alignment vertical="center"/>
    </xf>
  </cellXfs>
  <cellStyles count="3">
    <cellStyle name="百分比" xfId="1" builtinId="5"/>
    <cellStyle name="常规" xfId="0" builtinId="0"/>
    <cellStyle name="常规 3 2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04800" cy="349885"/>
    <xdr:sp macro="" textlink="">
      <xdr:nvSpPr>
        <xdr:cNvPr id="2" name="矩形 1"/>
        <xdr:cNvSpPr>
          <a:spLocks noChangeAspect="1"/>
        </xdr:cNvSpPr>
      </xdr:nvSpPr>
      <xdr:spPr>
        <a:xfrm>
          <a:off x="3149600" y="0"/>
          <a:ext cx="304800" cy="3498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584200</xdr:colOff>
      <xdr:row>0</xdr:row>
      <xdr:rowOff>0</xdr:rowOff>
    </xdr:from>
    <xdr:ext cx="304800" cy="355600"/>
    <xdr:sp macro="" textlink="">
      <xdr:nvSpPr>
        <xdr:cNvPr id="3" name="矩形 2"/>
        <xdr:cNvSpPr>
          <a:spLocks noChangeAspect="1"/>
        </xdr:cNvSpPr>
      </xdr:nvSpPr>
      <xdr:spPr>
        <a:xfrm>
          <a:off x="3733800" y="0"/>
          <a:ext cx="304800" cy="35560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10</xdr:col>
      <xdr:colOff>0</xdr:colOff>
      <xdr:row>1</xdr:row>
      <xdr:rowOff>50800</xdr:rowOff>
    </xdr:from>
    <xdr:ext cx="304800" cy="355600"/>
    <xdr:sp macro="" textlink="">
      <xdr:nvSpPr>
        <xdr:cNvPr id="4" name="矩形 3"/>
        <xdr:cNvSpPr>
          <a:spLocks noChangeAspect="1"/>
        </xdr:cNvSpPr>
      </xdr:nvSpPr>
      <xdr:spPr>
        <a:xfrm>
          <a:off x="10807700" y="241300"/>
          <a:ext cx="304800" cy="35560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22</xdr:col>
      <xdr:colOff>738414</xdr:colOff>
      <xdr:row>31</xdr:row>
      <xdr:rowOff>163286</xdr:rowOff>
    </xdr:from>
    <xdr:ext cx="304800" cy="374650"/>
    <xdr:sp macro="" textlink="">
      <xdr:nvSpPr>
        <xdr:cNvPr id="5" name="矩形 4"/>
        <xdr:cNvSpPr>
          <a:spLocks noChangeAspect="1"/>
        </xdr:cNvSpPr>
      </xdr:nvSpPr>
      <xdr:spPr>
        <a:xfrm>
          <a:off x="19775714" y="6538686"/>
          <a:ext cx="304800" cy="37465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04800" cy="292735"/>
    <xdr:sp macro="" textlink="">
      <xdr:nvSpPr>
        <xdr:cNvPr id="6" name="矩形 5"/>
        <xdr:cNvSpPr>
          <a:spLocks noChangeAspect="1"/>
        </xdr:cNvSpPr>
      </xdr:nvSpPr>
      <xdr:spPr>
        <a:xfrm>
          <a:off x="7658100" y="1752600"/>
          <a:ext cx="304800" cy="292735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304800" cy="349885"/>
    <xdr:sp macro="" textlink="">
      <xdr:nvSpPr>
        <xdr:cNvPr id="7" name="矩形 6"/>
        <xdr:cNvSpPr>
          <a:spLocks noChangeAspect="1"/>
        </xdr:cNvSpPr>
      </xdr:nvSpPr>
      <xdr:spPr>
        <a:xfrm>
          <a:off x="3149600" y="0"/>
          <a:ext cx="304800" cy="3498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55600"/>
    <xdr:sp macro="" textlink="">
      <xdr:nvSpPr>
        <xdr:cNvPr id="8" name="矩形 7"/>
        <xdr:cNvSpPr>
          <a:spLocks noChangeAspect="1"/>
        </xdr:cNvSpPr>
      </xdr:nvSpPr>
      <xdr:spPr>
        <a:xfrm>
          <a:off x="4203700" y="0"/>
          <a:ext cx="304800" cy="35560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4800" cy="355600"/>
    <xdr:sp macro="" textlink="">
      <xdr:nvSpPr>
        <xdr:cNvPr id="9" name="矩形 8"/>
        <xdr:cNvSpPr>
          <a:spLocks noChangeAspect="1"/>
        </xdr:cNvSpPr>
      </xdr:nvSpPr>
      <xdr:spPr>
        <a:xfrm>
          <a:off x="10807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72110" cy="339725"/>
    <xdr:sp macro="" textlink="">
      <xdr:nvSpPr>
        <xdr:cNvPr id="10" name="矩形 9"/>
        <xdr:cNvSpPr>
          <a:spLocks noChangeAspect="1"/>
        </xdr:cNvSpPr>
      </xdr:nvSpPr>
      <xdr:spPr>
        <a:xfrm>
          <a:off x="3149600" y="1752600"/>
          <a:ext cx="372110" cy="339725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04800" cy="292735"/>
    <xdr:sp macro="" textlink="">
      <xdr:nvSpPr>
        <xdr:cNvPr id="11" name="矩形 10"/>
        <xdr:cNvSpPr>
          <a:spLocks noChangeAspect="1"/>
        </xdr:cNvSpPr>
      </xdr:nvSpPr>
      <xdr:spPr>
        <a:xfrm>
          <a:off x="76581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49885"/>
    <xdr:sp macro="" textlink="">
      <xdr:nvSpPr>
        <xdr:cNvPr id="12" name="矩形 11"/>
        <xdr:cNvSpPr>
          <a:spLocks noChangeAspect="1"/>
        </xdr:cNvSpPr>
      </xdr:nvSpPr>
      <xdr:spPr>
        <a:xfrm>
          <a:off x="3149600" y="0"/>
          <a:ext cx="304800" cy="3498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55600"/>
    <xdr:sp macro="" textlink="">
      <xdr:nvSpPr>
        <xdr:cNvPr id="13" name="矩形 12"/>
        <xdr:cNvSpPr>
          <a:spLocks noChangeAspect="1"/>
        </xdr:cNvSpPr>
      </xdr:nvSpPr>
      <xdr:spPr>
        <a:xfrm>
          <a:off x="4203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55600"/>
    <xdr:sp macro="" textlink="">
      <xdr:nvSpPr>
        <xdr:cNvPr id="14" name="矩形 13"/>
        <xdr:cNvSpPr>
          <a:spLocks noChangeAspect="1"/>
        </xdr:cNvSpPr>
      </xdr:nvSpPr>
      <xdr:spPr>
        <a:xfrm>
          <a:off x="10807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13</xdr:col>
      <xdr:colOff>677334</xdr:colOff>
      <xdr:row>0</xdr:row>
      <xdr:rowOff>0</xdr:rowOff>
    </xdr:from>
    <xdr:ext cx="304800" cy="374650"/>
    <xdr:sp macro="" textlink="">
      <xdr:nvSpPr>
        <xdr:cNvPr id="15" name="矩形 14"/>
        <xdr:cNvSpPr>
          <a:spLocks noChangeAspect="1"/>
        </xdr:cNvSpPr>
      </xdr:nvSpPr>
      <xdr:spPr>
        <a:xfrm>
          <a:off x="13580534" y="0"/>
          <a:ext cx="304800" cy="37465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372110" cy="339725"/>
    <xdr:sp macro="" textlink="">
      <xdr:nvSpPr>
        <xdr:cNvPr id="16" name="矩形 15"/>
        <xdr:cNvSpPr>
          <a:spLocks noChangeAspect="1"/>
        </xdr:cNvSpPr>
      </xdr:nvSpPr>
      <xdr:spPr>
        <a:xfrm>
          <a:off x="31496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292735"/>
    <xdr:sp macro="" textlink="">
      <xdr:nvSpPr>
        <xdr:cNvPr id="17" name="矩形 16"/>
        <xdr:cNvSpPr>
          <a:spLocks noChangeAspect="1"/>
        </xdr:cNvSpPr>
      </xdr:nvSpPr>
      <xdr:spPr>
        <a:xfrm>
          <a:off x="76581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49885"/>
    <xdr:sp macro="" textlink="">
      <xdr:nvSpPr>
        <xdr:cNvPr id="18" name="矩形 17"/>
        <xdr:cNvSpPr>
          <a:spLocks noChangeAspect="1"/>
        </xdr:cNvSpPr>
      </xdr:nvSpPr>
      <xdr:spPr>
        <a:xfrm>
          <a:off x="3149600" y="0"/>
          <a:ext cx="304800" cy="3498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55600"/>
    <xdr:sp macro="" textlink="">
      <xdr:nvSpPr>
        <xdr:cNvPr id="19" name="矩形 18"/>
        <xdr:cNvSpPr>
          <a:spLocks noChangeAspect="1"/>
        </xdr:cNvSpPr>
      </xdr:nvSpPr>
      <xdr:spPr>
        <a:xfrm>
          <a:off x="4203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55600"/>
    <xdr:sp macro="" textlink="">
      <xdr:nvSpPr>
        <xdr:cNvPr id="20" name="矩形 19"/>
        <xdr:cNvSpPr>
          <a:spLocks noChangeAspect="1"/>
        </xdr:cNvSpPr>
      </xdr:nvSpPr>
      <xdr:spPr>
        <a:xfrm>
          <a:off x="10807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74650"/>
    <xdr:sp macro="" textlink="">
      <xdr:nvSpPr>
        <xdr:cNvPr id="21" name="矩形 20"/>
        <xdr:cNvSpPr>
          <a:spLocks noChangeAspect="1"/>
        </xdr:cNvSpPr>
      </xdr:nvSpPr>
      <xdr:spPr>
        <a:xfrm>
          <a:off x="13652500" y="0"/>
          <a:ext cx="304800" cy="3746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72110" cy="339725"/>
    <xdr:sp macro="" textlink="">
      <xdr:nvSpPr>
        <xdr:cNvPr id="22" name="矩形 21"/>
        <xdr:cNvSpPr>
          <a:spLocks noChangeAspect="1"/>
        </xdr:cNvSpPr>
      </xdr:nvSpPr>
      <xdr:spPr>
        <a:xfrm>
          <a:off x="31496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292735"/>
    <xdr:sp macro="" textlink="">
      <xdr:nvSpPr>
        <xdr:cNvPr id="23" name="矩形 22"/>
        <xdr:cNvSpPr>
          <a:spLocks noChangeAspect="1"/>
        </xdr:cNvSpPr>
      </xdr:nvSpPr>
      <xdr:spPr>
        <a:xfrm>
          <a:off x="76581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9</xdr:col>
      <xdr:colOff>698500</xdr:colOff>
      <xdr:row>13</xdr:row>
      <xdr:rowOff>152400</xdr:rowOff>
    </xdr:from>
    <xdr:ext cx="304800" cy="355600"/>
    <xdr:sp macro="" textlink="">
      <xdr:nvSpPr>
        <xdr:cNvPr id="24" name="矩形 23"/>
        <xdr:cNvSpPr>
          <a:spLocks noChangeAspect="1"/>
        </xdr:cNvSpPr>
      </xdr:nvSpPr>
      <xdr:spPr>
        <a:xfrm>
          <a:off x="10452100" y="2857500"/>
          <a:ext cx="304800" cy="35560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304800" cy="355600"/>
    <xdr:sp macro="" textlink="">
      <xdr:nvSpPr>
        <xdr:cNvPr id="25" name="矩形 24"/>
        <xdr:cNvSpPr>
          <a:spLocks noChangeAspect="1"/>
        </xdr:cNvSpPr>
      </xdr:nvSpPr>
      <xdr:spPr>
        <a:xfrm>
          <a:off x="9156700" y="0"/>
          <a:ext cx="304800" cy="355600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304800" cy="355600"/>
    <xdr:sp macro="" textlink="">
      <xdr:nvSpPr>
        <xdr:cNvPr id="26" name="矩形 25"/>
        <xdr:cNvSpPr>
          <a:spLocks noChangeAspect="1"/>
        </xdr:cNvSpPr>
      </xdr:nvSpPr>
      <xdr:spPr>
        <a:xfrm>
          <a:off x="9156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8</xdr:col>
      <xdr:colOff>0</xdr:colOff>
      <xdr:row>0</xdr:row>
      <xdr:rowOff>0</xdr:rowOff>
    </xdr:from>
    <xdr:ext cx="304800" cy="355600"/>
    <xdr:sp macro="" textlink="">
      <xdr:nvSpPr>
        <xdr:cNvPr id="27" name="矩形 26"/>
        <xdr:cNvSpPr>
          <a:spLocks noChangeAspect="1"/>
        </xdr:cNvSpPr>
      </xdr:nvSpPr>
      <xdr:spPr>
        <a:xfrm>
          <a:off x="9156700" y="0"/>
          <a:ext cx="304800" cy="3556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04800" cy="292735"/>
    <xdr:sp macro="" textlink="">
      <xdr:nvSpPr>
        <xdr:cNvPr id="28" name="矩形 27"/>
        <xdr:cNvSpPr>
          <a:spLocks noChangeAspect="1"/>
        </xdr:cNvSpPr>
      </xdr:nvSpPr>
      <xdr:spPr>
        <a:xfrm>
          <a:off x="12153900" y="1752600"/>
          <a:ext cx="304800" cy="292735"/>
        </a:xfrm>
        <a:prstGeom prst="rect">
          <a:avLst/>
        </a:prstGeom>
        <a:noFill/>
        <a:ln w="9525">
          <a:noFill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12</xdr:col>
      <xdr:colOff>0</xdr:colOff>
      <xdr:row>8</xdr:row>
      <xdr:rowOff>0</xdr:rowOff>
    </xdr:from>
    <xdr:ext cx="304800" cy="292735"/>
    <xdr:sp macro="" textlink="">
      <xdr:nvSpPr>
        <xdr:cNvPr id="29" name="矩形 28"/>
        <xdr:cNvSpPr>
          <a:spLocks noChangeAspect="1"/>
        </xdr:cNvSpPr>
      </xdr:nvSpPr>
      <xdr:spPr>
        <a:xfrm>
          <a:off x="121539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04800" cy="292735"/>
    <xdr:sp macro="" textlink="">
      <xdr:nvSpPr>
        <xdr:cNvPr id="30" name="矩形 29"/>
        <xdr:cNvSpPr>
          <a:spLocks noChangeAspect="1"/>
        </xdr:cNvSpPr>
      </xdr:nvSpPr>
      <xdr:spPr>
        <a:xfrm>
          <a:off x="121539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04800" cy="292735"/>
    <xdr:sp macro="" textlink="">
      <xdr:nvSpPr>
        <xdr:cNvPr id="31" name="矩形 30"/>
        <xdr:cNvSpPr>
          <a:spLocks noChangeAspect="1"/>
        </xdr:cNvSpPr>
      </xdr:nvSpPr>
      <xdr:spPr>
        <a:xfrm>
          <a:off x="12153900" y="1752600"/>
          <a:ext cx="304800" cy="2927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72110" cy="339725"/>
    <xdr:sp macro="" textlink="">
      <xdr:nvSpPr>
        <xdr:cNvPr id="32" name="矩形 31"/>
        <xdr:cNvSpPr>
          <a:spLocks noChangeAspect="1"/>
        </xdr:cNvSpPr>
      </xdr:nvSpPr>
      <xdr:spPr>
        <a:xfrm>
          <a:off x="121539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72110" cy="339725"/>
    <xdr:sp macro="" textlink="">
      <xdr:nvSpPr>
        <xdr:cNvPr id="33" name="矩形 32"/>
        <xdr:cNvSpPr>
          <a:spLocks noChangeAspect="1"/>
        </xdr:cNvSpPr>
      </xdr:nvSpPr>
      <xdr:spPr>
        <a:xfrm>
          <a:off x="121539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72110" cy="339725"/>
    <xdr:sp macro="" textlink="">
      <xdr:nvSpPr>
        <xdr:cNvPr id="34" name="矩形 33"/>
        <xdr:cNvSpPr>
          <a:spLocks noChangeAspect="1"/>
        </xdr:cNvSpPr>
      </xdr:nvSpPr>
      <xdr:spPr>
        <a:xfrm>
          <a:off x="121539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12</xdr:col>
      <xdr:colOff>0</xdr:colOff>
      <xdr:row>8</xdr:row>
      <xdr:rowOff>0</xdr:rowOff>
    </xdr:from>
    <xdr:ext cx="372110" cy="339725"/>
    <xdr:sp macro="" textlink="">
      <xdr:nvSpPr>
        <xdr:cNvPr id="35" name="矩形 34"/>
        <xdr:cNvSpPr>
          <a:spLocks noChangeAspect="1"/>
        </xdr:cNvSpPr>
      </xdr:nvSpPr>
      <xdr:spPr>
        <a:xfrm>
          <a:off x="12153900" y="1752600"/>
          <a:ext cx="372110" cy="339725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workbookViewId="0">
      <selection sqref="A1:Y36"/>
    </sheetView>
  </sheetViews>
  <sheetFormatPr baseColWidth="10" defaultRowHeight="16" x14ac:dyDescent="0.2"/>
  <sheetData>
    <row r="1" spans="1:25" x14ac:dyDescent="0.2">
      <c r="A1" s="1" t="s">
        <v>0</v>
      </c>
      <c r="B1" s="2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 t="s">
        <v>8</v>
      </c>
      <c r="O1" s="2" t="s">
        <v>9</v>
      </c>
      <c r="P1" s="3"/>
      <c r="Q1" s="3"/>
      <c r="R1" s="3"/>
      <c r="S1" s="3"/>
      <c r="T1" s="4"/>
      <c r="U1" s="4"/>
      <c r="V1" s="4"/>
      <c r="W1" s="4"/>
      <c r="X1" s="4"/>
      <c r="Y1" s="4"/>
    </row>
    <row r="2" spans="1:25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4"/>
      <c r="U2" s="4"/>
      <c r="V2" s="4"/>
      <c r="W2" s="4"/>
      <c r="X2" s="4"/>
      <c r="Y2" s="4"/>
    </row>
    <row r="3" spans="1:25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4"/>
      <c r="U3" s="4"/>
      <c r="V3" s="4"/>
      <c r="W3" s="4"/>
      <c r="X3" s="4"/>
      <c r="Y3" s="4"/>
    </row>
    <row r="4" spans="1:25" x14ac:dyDescent="0.2">
      <c r="A4" s="1"/>
      <c r="B4" s="2"/>
      <c r="C4" s="5" t="s">
        <v>10</v>
      </c>
      <c r="D4" s="5" t="s">
        <v>11</v>
      </c>
      <c r="E4" s="5" t="s">
        <v>10</v>
      </c>
      <c r="F4" s="5" t="s">
        <v>11</v>
      </c>
      <c r="G4" s="5" t="s">
        <v>10</v>
      </c>
      <c r="H4" s="5" t="s">
        <v>11</v>
      </c>
      <c r="I4" s="5" t="s">
        <v>10</v>
      </c>
      <c r="J4" s="5" t="s">
        <v>11</v>
      </c>
      <c r="K4" s="5" t="s">
        <v>10</v>
      </c>
      <c r="L4" s="5" t="s">
        <v>11</v>
      </c>
      <c r="M4" s="5"/>
      <c r="N4" s="5"/>
      <c r="O4" s="5"/>
      <c r="P4" s="3"/>
      <c r="Q4" s="3"/>
      <c r="R4" s="3"/>
      <c r="S4" s="3"/>
      <c r="T4" s="4"/>
      <c r="U4" s="4"/>
      <c r="V4" s="4"/>
      <c r="W4" s="4"/>
      <c r="X4" s="4"/>
      <c r="Y4" s="4"/>
    </row>
    <row r="5" spans="1:25" x14ac:dyDescent="0.2">
      <c r="A5" s="6" t="s">
        <v>12</v>
      </c>
      <c r="B5" s="6">
        <v>200000</v>
      </c>
      <c r="C5" s="7" t="s">
        <v>13</v>
      </c>
      <c r="D5" s="8"/>
      <c r="E5" s="7" t="s">
        <v>13</v>
      </c>
      <c r="F5" s="7"/>
      <c r="G5" s="7">
        <v>20000</v>
      </c>
      <c r="H5" s="7">
        <f>15920+3980+7960</f>
        <v>27860</v>
      </c>
      <c r="I5" s="7">
        <v>20000</v>
      </c>
      <c r="J5" s="6">
        <f>7960+15920</f>
        <v>23880</v>
      </c>
      <c r="K5" s="7">
        <v>20000</v>
      </c>
      <c r="L5" s="6"/>
      <c r="M5" s="6">
        <v>200000</v>
      </c>
      <c r="N5" s="9">
        <f t="shared" ref="N5:N7" si="0">O5/M5</f>
        <v>0.25869999999999999</v>
      </c>
      <c r="O5" s="7">
        <f>J5+H5</f>
        <v>51740</v>
      </c>
      <c r="P5" s="3"/>
      <c r="Q5" s="3"/>
      <c r="R5" s="3"/>
      <c r="S5" s="3"/>
      <c r="T5" s="4"/>
      <c r="U5" s="4"/>
      <c r="V5" s="4"/>
      <c r="W5" s="4"/>
      <c r="X5" s="4"/>
      <c r="Y5" s="4"/>
    </row>
    <row r="6" spans="1:25" x14ac:dyDescent="0.2">
      <c r="A6" s="6" t="s">
        <v>14</v>
      </c>
      <c r="B6" s="6">
        <v>200000</v>
      </c>
      <c r="C6" s="7" t="s">
        <v>13</v>
      </c>
      <c r="D6" s="8"/>
      <c r="E6" s="7" t="s">
        <v>13</v>
      </c>
      <c r="F6" s="7"/>
      <c r="G6" s="7">
        <v>20000</v>
      </c>
      <c r="H6" s="7">
        <v>7960</v>
      </c>
      <c r="I6" s="7">
        <v>20000</v>
      </c>
      <c r="J6" s="6">
        <f>3980+7960+11940+15920</f>
        <v>39800</v>
      </c>
      <c r="K6" s="7">
        <v>20000</v>
      </c>
      <c r="L6" s="6"/>
      <c r="M6" s="6">
        <v>200000</v>
      </c>
      <c r="N6" s="9">
        <f t="shared" si="0"/>
        <v>0.23880000000000001</v>
      </c>
      <c r="O6" s="7">
        <f t="shared" ref="O6:O9" si="1">J6+H6</f>
        <v>47760</v>
      </c>
      <c r="P6" s="3"/>
      <c r="Q6" s="3"/>
      <c r="R6" s="3"/>
      <c r="S6" s="3"/>
      <c r="T6" s="4"/>
      <c r="U6" s="4"/>
      <c r="V6" s="4"/>
      <c r="W6" s="4"/>
      <c r="X6" s="4"/>
      <c r="Y6" s="4"/>
    </row>
    <row r="7" spans="1:25" x14ac:dyDescent="0.2">
      <c r="A7" s="6" t="s">
        <v>15</v>
      </c>
      <c r="B7" s="6">
        <v>200000</v>
      </c>
      <c r="C7" s="7" t="s">
        <v>13</v>
      </c>
      <c r="D7" s="8"/>
      <c r="E7" s="7" t="s">
        <v>13</v>
      </c>
      <c r="F7" s="7"/>
      <c r="G7" s="7">
        <v>20000</v>
      </c>
      <c r="H7" s="7">
        <f>15920+7960+7960</f>
        <v>31840</v>
      </c>
      <c r="I7" s="7">
        <v>20000</v>
      </c>
      <c r="J7" s="6">
        <f>11940+15920</f>
        <v>27860</v>
      </c>
      <c r="K7" s="7">
        <v>20000</v>
      </c>
      <c r="L7" s="6"/>
      <c r="M7" s="6">
        <v>200000</v>
      </c>
      <c r="N7" s="9">
        <f t="shared" si="0"/>
        <v>0.29849999999999999</v>
      </c>
      <c r="O7" s="7">
        <f t="shared" si="1"/>
        <v>59700</v>
      </c>
      <c r="P7" s="3"/>
      <c r="Q7" s="3"/>
      <c r="R7" s="3"/>
      <c r="S7" s="3"/>
      <c r="T7" s="4"/>
      <c r="U7" s="4"/>
      <c r="V7" s="4"/>
      <c r="W7" s="4"/>
      <c r="X7" s="4"/>
      <c r="Y7" s="4"/>
    </row>
    <row r="8" spans="1:25" x14ac:dyDescent="0.2">
      <c r="A8" s="6" t="s">
        <v>16</v>
      </c>
      <c r="B8" s="6">
        <v>200000</v>
      </c>
      <c r="C8" s="7" t="s">
        <v>13</v>
      </c>
      <c r="D8" s="8"/>
      <c r="E8" s="7" t="s">
        <v>13</v>
      </c>
      <c r="F8" s="7"/>
      <c r="G8" s="7">
        <v>0</v>
      </c>
      <c r="H8" s="7">
        <v>0</v>
      </c>
      <c r="I8" s="7">
        <v>20000</v>
      </c>
      <c r="J8" s="6">
        <v>3980</v>
      </c>
      <c r="K8" s="7">
        <v>20000</v>
      </c>
      <c r="L8" s="6"/>
      <c r="M8" s="6">
        <v>200000</v>
      </c>
      <c r="N8" s="9">
        <f>O8/M8</f>
        <v>1.9900000000000001E-2</v>
      </c>
      <c r="O8" s="7">
        <f t="shared" si="1"/>
        <v>3980</v>
      </c>
      <c r="P8" s="3"/>
      <c r="Q8" s="3"/>
      <c r="R8" s="3"/>
      <c r="S8" s="3"/>
      <c r="T8" s="4"/>
      <c r="U8" s="4"/>
      <c r="V8" s="4"/>
      <c r="W8" s="4"/>
      <c r="X8" s="4"/>
      <c r="Y8" s="4"/>
    </row>
    <row r="9" spans="1:25" x14ac:dyDescent="0.2">
      <c r="A9" s="6" t="s">
        <v>17</v>
      </c>
      <c r="B9" s="6" t="s">
        <v>13</v>
      </c>
      <c r="C9" s="7" t="s">
        <v>13</v>
      </c>
      <c r="D9" s="8"/>
      <c r="E9" s="7" t="s">
        <v>13</v>
      </c>
      <c r="F9" s="7"/>
      <c r="G9" s="7">
        <v>0</v>
      </c>
      <c r="H9" s="7">
        <v>0</v>
      </c>
      <c r="I9" s="7" t="s">
        <v>13</v>
      </c>
      <c r="J9" s="6">
        <v>0</v>
      </c>
      <c r="K9" s="7" t="s">
        <v>13</v>
      </c>
      <c r="L9" s="6"/>
      <c r="M9" s="6">
        <v>0</v>
      </c>
      <c r="N9" s="9" t="e">
        <f>O9/M9</f>
        <v>#DIV/0!</v>
      </c>
      <c r="O9" s="7">
        <f t="shared" si="1"/>
        <v>0</v>
      </c>
      <c r="P9" s="3"/>
      <c r="Q9" s="3"/>
      <c r="R9" s="3"/>
      <c r="S9" s="3"/>
      <c r="T9" s="4"/>
      <c r="U9" s="4"/>
      <c r="V9" s="4"/>
      <c r="W9" s="4"/>
      <c r="X9" s="4"/>
      <c r="Y9" s="4"/>
    </row>
    <row r="10" spans="1:25" x14ac:dyDescent="0.2">
      <c r="A10" s="10" t="s">
        <v>18</v>
      </c>
      <c r="B10" s="5"/>
      <c r="C10" s="5"/>
      <c r="D10" s="5"/>
      <c r="E10" s="5"/>
      <c r="F10" s="5"/>
      <c r="G10" s="5">
        <f>SUM(G5:G7)</f>
        <v>60000</v>
      </c>
      <c r="H10" s="5">
        <f>SUM(H5:H7)</f>
        <v>67660</v>
      </c>
      <c r="I10" s="5">
        <v>80000</v>
      </c>
      <c r="J10" s="5">
        <f>SUM(J5:J9)</f>
        <v>95520</v>
      </c>
      <c r="K10" s="5"/>
      <c r="L10" s="5"/>
      <c r="M10" s="5">
        <f>SUM(M5:M7)</f>
        <v>600000</v>
      </c>
      <c r="N10" s="11">
        <f>O10/M10</f>
        <v>0.27196666666666669</v>
      </c>
      <c r="O10" s="12">
        <f>SUM(O5:O9)</f>
        <v>163180</v>
      </c>
      <c r="P10" s="3"/>
      <c r="Q10" s="3"/>
      <c r="R10" s="3"/>
      <c r="S10" s="3"/>
      <c r="T10" s="4"/>
      <c r="U10" s="4"/>
      <c r="V10" s="4"/>
      <c r="W10" s="4"/>
      <c r="X10" s="4"/>
      <c r="Y10" s="4"/>
    </row>
    <row r="11" spans="1:25" x14ac:dyDescent="0.2">
      <c r="A11" s="1" t="s">
        <v>19</v>
      </c>
      <c r="B11" s="2" t="s">
        <v>2</v>
      </c>
      <c r="C11" s="2"/>
      <c r="D11" s="2"/>
      <c r="E11" s="2"/>
      <c r="F11" s="2"/>
      <c r="G11" s="2"/>
      <c r="H11" s="2" t="s">
        <v>3</v>
      </c>
      <c r="I11" s="2"/>
      <c r="J11" s="2"/>
      <c r="K11" s="2"/>
      <c r="L11" s="2"/>
      <c r="M11" s="2"/>
      <c r="N11" s="2" t="s">
        <v>20</v>
      </c>
      <c r="O11" s="2"/>
      <c r="P11" s="2"/>
      <c r="Q11" s="2"/>
      <c r="R11" s="2"/>
      <c r="S11" s="2"/>
      <c r="T11" s="2" t="s">
        <v>21</v>
      </c>
      <c r="U11" s="2"/>
      <c r="V11" s="2"/>
      <c r="W11" s="2"/>
      <c r="X11" s="2"/>
      <c r="Y11" s="2"/>
    </row>
    <row r="12" spans="1:25" x14ac:dyDescent="0.2">
      <c r="A12" s="1"/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22</v>
      </c>
      <c r="I12" s="5" t="s">
        <v>23</v>
      </c>
      <c r="J12" s="5" t="s">
        <v>24</v>
      </c>
      <c r="K12" s="5" t="s">
        <v>28</v>
      </c>
      <c r="L12" s="5" t="s">
        <v>26</v>
      </c>
      <c r="M12" s="5" t="s">
        <v>27</v>
      </c>
      <c r="N12" s="5" t="s">
        <v>22</v>
      </c>
      <c r="O12" s="5" t="s">
        <v>23</v>
      </c>
      <c r="P12" s="5" t="s">
        <v>24</v>
      </c>
      <c r="Q12" s="5" t="s">
        <v>25</v>
      </c>
      <c r="R12" s="5" t="s">
        <v>26</v>
      </c>
      <c r="S12" s="5" t="s">
        <v>27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</row>
    <row r="13" spans="1:25" x14ac:dyDescent="0.2">
      <c r="A13" s="6" t="s">
        <v>12</v>
      </c>
      <c r="B13" s="13"/>
      <c r="C13" s="13"/>
      <c r="D13" s="13"/>
      <c r="E13" s="13"/>
      <c r="F13" s="14"/>
      <c r="G13" s="13"/>
      <c r="H13" s="13"/>
      <c r="I13" s="13"/>
      <c r="J13" s="13"/>
      <c r="K13" s="13"/>
      <c r="L13" s="13"/>
      <c r="M13" s="13"/>
      <c r="N13" s="13">
        <v>0</v>
      </c>
      <c r="O13" s="13">
        <v>1</v>
      </c>
      <c r="P13" s="13">
        <v>1</v>
      </c>
      <c r="Q13" s="13">
        <v>1</v>
      </c>
      <c r="R13" s="15">
        <f>Q13/P13</f>
        <v>1</v>
      </c>
      <c r="S13" s="13">
        <v>15920</v>
      </c>
      <c r="T13" s="13">
        <v>27</v>
      </c>
      <c r="U13" s="13">
        <v>1</v>
      </c>
      <c r="V13" s="13">
        <v>1</v>
      </c>
      <c r="W13" s="13">
        <v>1</v>
      </c>
      <c r="X13" s="15">
        <f>W13/V13</f>
        <v>1</v>
      </c>
      <c r="Y13" s="13">
        <v>15920</v>
      </c>
    </row>
    <row r="14" spans="1:25" x14ac:dyDescent="0.2">
      <c r="A14" s="6" t="s">
        <v>14</v>
      </c>
      <c r="B14" s="13"/>
      <c r="C14" s="13"/>
      <c r="D14" s="13"/>
      <c r="E14" s="13"/>
      <c r="F14" s="16"/>
      <c r="G14" s="13"/>
      <c r="H14" s="13"/>
      <c r="I14" s="13"/>
      <c r="J14" s="13"/>
      <c r="K14" s="13"/>
      <c r="L14" s="13"/>
      <c r="M14" s="13"/>
      <c r="N14" s="13">
        <v>6</v>
      </c>
      <c r="O14" s="13">
        <v>1</v>
      </c>
      <c r="P14" s="13">
        <v>1</v>
      </c>
      <c r="Q14" s="13">
        <v>1</v>
      </c>
      <c r="R14" s="15">
        <f t="shared" ref="R14:R17" si="2">Q14/P14</f>
        <v>1</v>
      </c>
      <c r="S14" s="13">
        <v>7960</v>
      </c>
      <c r="T14" s="13">
        <v>25</v>
      </c>
      <c r="U14" s="13">
        <v>5</v>
      </c>
      <c r="V14" s="13">
        <v>4</v>
      </c>
      <c r="W14" s="13">
        <v>2</v>
      </c>
      <c r="X14" s="15">
        <f>W14/V14</f>
        <v>0.5</v>
      </c>
      <c r="Y14" s="13">
        <f>11940+15920</f>
        <v>27860</v>
      </c>
    </row>
    <row r="15" spans="1:25" x14ac:dyDescent="0.2">
      <c r="A15" s="6" t="s">
        <v>29</v>
      </c>
      <c r="B15" s="13"/>
      <c r="C15" s="13"/>
      <c r="D15" s="13"/>
      <c r="E15" s="13"/>
      <c r="F15" s="14"/>
      <c r="G15" s="13"/>
      <c r="H15" s="13"/>
      <c r="I15" s="13"/>
      <c r="J15" s="13"/>
      <c r="K15" s="13"/>
      <c r="L15" s="13"/>
      <c r="M15" s="13"/>
      <c r="N15" s="13">
        <v>4</v>
      </c>
      <c r="O15" s="13">
        <v>0</v>
      </c>
      <c r="P15" s="13">
        <v>0</v>
      </c>
      <c r="Q15" s="13">
        <v>0</v>
      </c>
      <c r="R15" s="15" t="e">
        <f t="shared" si="2"/>
        <v>#DIV/0!</v>
      </c>
      <c r="S15" s="13">
        <v>0</v>
      </c>
      <c r="T15" s="13">
        <v>28</v>
      </c>
      <c r="U15" s="13">
        <v>1</v>
      </c>
      <c r="V15" s="13">
        <v>1</v>
      </c>
      <c r="W15" s="13">
        <v>0</v>
      </c>
      <c r="X15" s="15">
        <f t="shared" ref="X15:X17" si="3">W15/V15</f>
        <v>0</v>
      </c>
      <c r="Y15" s="13">
        <v>0</v>
      </c>
    </row>
    <row r="16" spans="1:25" x14ac:dyDescent="0.2">
      <c r="A16" s="6" t="s">
        <v>16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>
        <v>50</v>
      </c>
      <c r="O16" s="13">
        <v>1</v>
      </c>
      <c r="P16" s="13">
        <v>0</v>
      </c>
      <c r="Q16" s="13">
        <v>0</v>
      </c>
      <c r="R16" s="15" t="e">
        <f t="shared" si="2"/>
        <v>#DIV/0!</v>
      </c>
      <c r="S16" s="13">
        <v>0</v>
      </c>
      <c r="T16" s="13">
        <v>6</v>
      </c>
      <c r="U16" s="13">
        <v>0</v>
      </c>
      <c r="V16" s="13">
        <v>0</v>
      </c>
      <c r="W16" s="13">
        <v>0</v>
      </c>
      <c r="X16" s="15" t="e">
        <f>W16/V16</f>
        <v>#DIV/0!</v>
      </c>
      <c r="Y16" s="13">
        <v>0</v>
      </c>
    </row>
    <row r="17" spans="1:25" x14ac:dyDescent="0.2">
      <c r="A17" s="6" t="s">
        <v>17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>
        <v>0</v>
      </c>
      <c r="O17" s="13">
        <v>0</v>
      </c>
      <c r="P17" s="13">
        <v>0</v>
      </c>
      <c r="Q17" s="13">
        <v>0</v>
      </c>
      <c r="R17" s="15" t="e">
        <f t="shared" si="2"/>
        <v>#DIV/0!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5" t="e">
        <f t="shared" si="3"/>
        <v>#DIV/0!</v>
      </c>
      <c r="Y17" s="13">
        <v>0</v>
      </c>
    </row>
    <row r="18" spans="1:25" x14ac:dyDescent="0.2">
      <c r="A18" s="10" t="s">
        <v>18</v>
      </c>
      <c r="B18" s="10"/>
      <c r="C18" s="10"/>
      <c r="D18" s="10"/>
      <c r="E18" s="10"/>
      <c r="F18" s="17"/>
      <c r="G18" s="10"/>
      <c r="H18" s="10"/>
      <c r="I18" s="10"/>
      <c r="J18" s="10"/>
      <c r="K18" s="10"/>
      <c r="L18" s="10"/>
      <c r="M18" s="10"/>
      <c r="N18" s="10">
        <f>SUM(N13:N17)</f>
        <v>60</v>
      </c>
      <c r="O18" s="10">
        <v>2</v>
      </c>
      <c r="P18" s="10">
        <f>SUM(P13:P17)</f>
        <v>2</v>
      </c>
      <c r="Q18" s="10">
        <f>SUM(Q13:Q17)</f>
        <v>2</v>
      </c>
      <c r="R18" s="18">
        <v>1</v>
      </c>
      <c r="S18" s="10">
        <f>SUM(S13:S17)</f>
        <v>23880</v>
      </c>
      <c r="T18" s="10">
        <f>SUM(T13:T17)</f>
        <v>86</v>
      </c>
      <c r="U18" s="10">
        <f>SUM(U13:U17)</f>
        <v>7</v>
      </c>
      <c r="V18" s="10">
        <f>SUM(V13:V17)</f>
        <v>6</v>
      </c>
      <c r="W18" s="10">
        <f>SUM(W13:W17)</f>
        <v>3</v>
      </c>
      <c r="X18" s="19">
        <v>0.5</v>
      </c>
      <c r="Y18" s="10">
        <f>SUM(Y13:Y17)</f>
        <v>43780</v>
      </c>
    </row>
    <row r="19" spans="1:25" x14ac:dyDescent="0.2">
      <c r="A19" s="20" t="s">
        <v>30</v>
      </c>
      <c r="B19" s="21" t="s">
        <v>12</v>
      </c>
      <c r="C19" s="21"/>
      <c r="D19" s="21"/>
      <c r="E19" s="21"/>
      <c r="F19" s="21"/>
      <c r="G19" s="21"/>
      <c r="H19" s="21" t="s">
        <v>14</v>
      </c>
      <c r="I19" s="21"/>
      <c r="J19" s="21"/>
      <c r="K19" s="21"/>
      <c r="L19" s="21"/>
      <c r="M19" s="21"/>
      <c r="N19" s="21" t="s">
        <v>15</v>
      </c>
      <c r="O19" s="21"/>
      <c r="P19" s="21"/>
      <c r="Q19" s="21"/>
      <c r="R19" s="21"/>
      <c r="S19" s="21"/>
      <c r="T19" s="4"/>
      <c r="U19" s="4"/>
      <c r="V19" s="4"/>
      <c r="W19" s="4"/>
      <c r="X19" s="4"/>
      <c r="Y19" s="4"/>
    </row>
    <row r="20" spans="1:25" x14ac:dyDescent="0.2">
      <c r="A20" s="20"/>
      <c r="B20" s="22" t="s">
        <v>31</v>
      </c>
      <c r="C20" s="22" t="s">
        <v>32</v>
      </c>
      <c r="D20" s="22" t="s">
        <v>33</v>
      </c>
      <c r="E20" s="22" t="s">
        <v>34</v>
      </c>
      <c r="F20" s="22" t="s">
        <v>35</v>
      </c>
      <c r="G20" s="22" t="s">
        <v>36</v>
      </c>
      <c r="H20" s="22" t="s">
        <v>31</v>
      </c>
      <c r="I20" s="22" t="s">
        <v>32</v>
      </c>
      <c r="J20" s="23" t="s">
        <v>33</v>
      </c>
      <c r="K20" s="22" t="s">
        <v>34</v>
      </c>
      <c r="L20" s="24" t="s">
        <v>35</v>
      </c>
      <c r="M20" s="22" t="s">
        <v>36</v>
      </c>
      <c r="N20" s="24" t="s">
        <v>31</v>
      </c>
      <c r="O20" s="22" t="s">
        <v>32</v>
      </c>
      <c r="P20" s="22" t="s">
        <v>33</v>
      </c>
      <c r="Q20" s="22" t="s">
        <v>34</v>
      </c>
      <c r="R20" s="24" t="s">
        <v>35</v>
      </c>
      <c r="S20" s="22" t="s">
        <v>36</v>
      </c>
      <c r="T20" s="4"/>
      <c r="U20" s="4"/>
      <c r="V20" s="4"/>
      <c r="W20" s="4"/>
      <c r="X20" s="4"/>
      <c r="Y20" s="4"/>
    </row>
    <row r="21" spans="1:25" ht="34" x14ac:dyDescent="0.2">
      <c r="A21" s="25" t="s">
        <v>37</v>
      </c>
      <c r="B21" s="26">
        <v>2</v>
      </c>
      <c r="C21" s="26">
        <v>2</v>
      </c>
      <c r="D21" s="26">
        <v>2</v>
      </c>
      <c r="E21" s="26">
        <v>1</v>
      </c>
      <c r="F21" s="27">
        <f>E21/D21</f>
        <v>0.5</v>
      </c>
      <c r="G21" s="26">
        <v>7960</v>
      </c>
      <c r="H21" s="26">
        <v>3</v>
      </c>
      <c r="I21" s="26">
        <v>2</v>
      </c>
      <c r="J21" s="28">
        <v>2</v>
      </c>
      <c r="K21" s="29">
        <v>2</v>
      </c>
      <c r="L21" s="27">
        <f>K21/J21</f>
        <v>1</v>
      </c>
      <c r="M21" s="29">
        <f>7960+3980</f>
        <v>11940</v>
      </c>
      <c r="N21" s="26">
        <v>4</v>
      </c>
      <c r="O21" s="26">
        <v>3</v>
      </c>
      <c r="P21" s="26">
        <v>3</v>
      </c>
      <c r="Q21" s="26">
        <v>2</v>
      </c>
      <c r="R21" s="27">
        <f>Q21/P21</f>
        <v>0.66666666666666663</v>
      </c>
      <c r="S21" s="26">
        <f>11940+15920</f>
        <v>27860</v>
      </c>
      <c r="T21" s="4"/>
      <c r="U21" s="4"/>
      <c r="V21" s="4"/>
      <c r="W21" s="4"/>
      <c r="X21" s="4"/>
      <c r="Y21" s="4"/>
    </row>
    <row r="22" spans="1:25" ht="17" x14ac:dyDescent="0.2">
      <c r="A22" s="25" t="s">
        <v>38</v>
      </c>
      <c r="B22" s="26"/>
      <c r="C22" s="26"/>
      <c r="D22" s="26"/>
      <c r="E22" s="26"/>
      <c r="F22" s="26"/>
      <c r="G22" s="26"/>
      <c r="H22" s="26"/>
      <c r="I22" s="26"/>
      <c r="J22" s="28"/>
      <c r="K22" s="26"/>
      <c r="L22" s="27"/>
      <c r="M22" s="29"/>
      <c r="N22" s="26"/>
      <c r="O22" s="26"/>
      <c r="P22" s="26"/>
      <c r="Q22" s="26"/>
      <c r="R22" s="27"/>
      <c r="S22" s="26"/>
      <c r="T22" s="4"/>
      <c r="U22" s="4"/>
      <c r="V22" s="4"/>
      <c r="W22" s="4"/>
      <c r="X22" s="4"/>
      <c r="Y22" s="4"/>
    </row>
    <row r="23" spans="1:25" ht="17" x14ac:dyDescent="0.2">
      <c r="A23" s="25" t="s">
        <v>39</v>
      </c>
      <c r="B23" s="26"/>
      <c r="C23" s="26"/>
      <c r="D23" s="26"/>
      <c r="E23" s="26"/>
      <c r="F23" s="26"/>
      <c r="G23" s="26"/>
      <c r="H23" s="26"/>
      <c r="I23" s="26"/>
      <c r="J23" s="28"/>
      <c r="K23" s="26"/>
      <c r="L23" s="26"/>
      <c r="M23" s="29"/>
      <c r="N23" s="26"/>
      <c r="O23" s="26"/>
      <c r="P23" s="26"/>
      <c r="Q23" s="26"/>
      <c r="R23" s="27"/>
      <c r="S23" s="26"/>
      <c r="T23" s="4"/>
      <c r="U23" s="4"/>
      <c r="V23" s="4"/>
      <c r="W23" s="4"/>
      <c r="X23" s="4"/>
      <c r="Y23" s="4"/>
    </row>
    <row r="24" spans="1:25" ht="17" x14ac:dyDescent="0.2">
      <c r="A24" s="25" t="s">
        <v>40</v>
      </c>
      <c r="B24" s="26"/>
      <c r="C24" s="26"/>
      <c r="D24" s="26"/>
      <c r="E24" s="26"/>
      <c r="F24" s="26"/>
      <c r="G24" s="26"/>
      <c r="H24" s="26"/>
      <c r="I24" s="26"/>
      <c r="J24" s="28"/>
      <c r="K24" s="26"/>
      <c r="L24" s="26"/>
      <c r="M24" s="29"/>
      <c r="N24" s="26"/>
      <c r="O24" s="26"/>
      <c r="P24" s="26"/>
      <c r="Q24" s="26"/>
      <c r="R24" s="27"/>
      <c r="S24" s="26"/>
      <c r="T24" s="4"/>
      <c r="U24" s="4"/>
      <c r="V24" s="4"/>
      <c r="W24" s="4"/>
      <c r="X24" s="4"/>
      <c r="Y24" s="4"/>
    </row>
    <row r="25" spans="1:25" ht="34" x14ac:dyDescent="0.2">
      <c r="A25" s="30" t="s">
        <v>41</v>
      </c>
      <c r="B25" s="31">
        <f>SUM(B21:B24)</f>
        <v>2</v>
      </c>
      <c r="C25" s="31">
        <f>SUM(C21:C24)</f>
        <v>2</v>
      </c>
      <c r="D25" s="31">
        <f>SUM(D21:D24)</f>
        <v>2</v>
      </c>
      <c r="E25" s="31">
        <f>SUM(E21:E24)</f>
        <v>1</v>
      </c>
      <c r="F25" s="32">
        <f>SUM(F21:F24)</f>
        <v>0.5</v>
      </c>
      <c r="G25" s="31">
        <f>SUM(G21:G24)</f>
        <v>7960</v>
      </c>
      <c r="H25" s="31">
        <f>SUM(H21:H24)</f>
        <v>3</v>
      </c>
      <c r="I25" s="31">
        <f>SUM(I21:I24)</f>
        <v>2</v>
      </c>
      <c r="J25" s="33">
        <f>SUM(J21:J24)</f>
        <v>2</v>
      </c>
      <c r="K25" s="31">
        <f>SUM(K21:K24)</f>
        <v>2</v>
      </c>
      <c r="L25" s="31">
        <f>SUM(L21:L24)</f>
        <v>1</v>
      </c>
      <c r="M25" s="31">
        <f>SUM(M21:M24)</f>
        <v>11940</v>
      </c>
      <c r="N25" s="31">
        <f>SUM(N21:N24)</f>
        <v>4</v>
      </c>
      <c r="O25" s="31">
        <f>SUM(O21:O24)</f>
        <v>3</v>
      </c>
      <c r="P25" s="31">
        <f>SUM(P21:P24)</f>
        <v>3</v>
      </c>
      <c r="Q25" s="31">
        <f>SUM(Q21:Q24)</f>
        <v>2</v>
      </c>
      <c r="R25" s="32">
        <f>SUM(R21:R24)</f>
        <v>0.66666666666666663</v>
      </c>
      <c r="S25" s="31">
        <f>SUM(S21:S24)</f>
        <v>27860</v>
      </c>
      <c r="T25" s="4"/>
      <c r="U25" s="4"/>
      <c r="V25" s="4"/>
      <c r="W25" s="4"/>
      <c r="X25" s="4"/>
      <c r="Y25" s="4"/>
    </row>
    <row r="26" spans="1:25" x14ac:dyDescent="0.2">
      <c r="A26" s="20" t="s">
        <v>42</v>
      </c>
      <c r="B26" s="21" t="s">
        <v>43</v>
      </c>
      <c r="C26" s="21"/>
      <c r="D26" s="21"/>
      <c r="E26" s="21"/>
      <c r="F26" s="21"/>
      <c r="G26" s="21"/>
      <c r="H26" s="21" t="s">
        <v>17</v>
      </c>
      <c r="I26" s="21"/>
      <c r="J26" s="21"/>
      <c r="K26" s="21"/>
      <c r="L26" s="21"/>
      <c r="M26" s="21"/>
      <c r="N26" s="21" t="s">
        <v>44</v>
      </c>
      <c r="O26" s="21"/>
      <c r="P26" s="21" t="s">
        <v>45</v>
      </c>
      <c r="Q26" s="21"/>
      <c r="R26" s="21"/>
      <c r="S26" s="21"/>
      <c r="T26" s="4"/>
      <c r="U26" s="4"/>
      <c r="V26" s="4"/>
      <c r="W26" s="4"/>
      <c r="X26" s="4"/>
      <c r="Y26" s="4"/>
    </row>
    <row r="27" spans="1:25" x14ac:dyDescent="0.2">
      <c r="A27" s="20"/>
      <c r="B27" s="24" t="s">
        <v>31</v>
      </c>
      <c r="C27" s="22" t="s">
        <v>32</v>
      </c>
      <c r="D27" s="22" t="s">
        <v>33</v>
      </c>
      <c r="E27" s="22" t="s">
        <v>34</v>
      </c>
      <c r="F27" s="24" t="s">
        <v>35</v>
      </c>
      <c r="G27" s="22" t="s">
        <v>36</v>
      </c>
      <c r="H27" s="24" t="s">
        <v>31</v>
      </c>
      <c r="I27" s="22" t="s">
        <v>32</v>
      </c>
      <c r="J27" s="23" t="s">
        <v>33</v>
      </c>
      <c r="K27" s="22" t="s">
        <v>34</v>
      </c>
      <c r="L27" s="24" t="s">
        <v>35</v>
      </c>
      <c r="M27" s="22" t="s">
        <v>36</v>
      </c>
      <c r="N27" s="24" t="s">
        <v>31</v>
      </c>
      <c r="O27" s="22" t="s">
        <v>32</v>
      </c>
      <c r="P27" s="22" t="s">
        <v>33</v>
      </c>
      <c r="Q27" s="22" t="s">
        <v>34</v>
      </c>
      <c r="R27" s="24" t="s">
        <v>35</v>
      </c>
      <c r="S27" s="22" t="s">
        <v>36</v>
      </c>
      <c r="T27" s="4"/>
      <c r="U27" s="4"/>
      <c r="V27" s="4"/>
      <c r="W27" s="4"/>
      <c r="X27" s="4"/>
      <c r="Y27" s="4"/>
    </row>
    <row r="28" spans="1:25" ht="34" x14ac:dyDescent="0.2">
      <c r="A28" s="25" t="s">
        <v>37</v>
      </c>
      <c r="B28" s="26">
        <v>3</v>
      </c>
      <c r="C28" s="26">
        <v>3</v>
      </c>
      <c r="D28" s="26">
        <v>0</v>
      </c>
      <c r="E28" s="26">
        <v>0</v>
      </c>
      <c r="F28" s="27" t="e">
        <f>E28/D28</f>
        <v>#DIV/0!</v>
      </c>
      <c r="G28" s="26">
        <v>3980</v>
      </c>
      <c r="H28" s="26"/>
      <c r="I28" s="26"/>
      <c r="J28" s="28"/>
      <c r="K28" s="26"/>
      <c r="L28" s="26"/>
      <c r="M28" s="26"/>
      <c r="N28" s="26">
        <f>B21+H21+N21+B28</f>
        <v>12</v>
      </c>
      <c r="O28" s="26">
        <f>C21+I21+O21+C28</f>
        <v>10</v>
      </c>
      <c r="P28" s="26">
        <f>D21+J21+P21+D28</f>
        <v>7</v>
      </c>
      <c r="Q28" s="26">
        <f>E21+K21+Q21+E28</f>
        <v>5</v>
      </c>
      <c r="R28" s="27">
        <f>Q28/P28</f>
        <v>0.7142857142857143</v>
      </c>
      <c r="S28" s="26">
        <f>G21+S21+M21+G28</f>
        <v>51740</v>
      </c>
      <c r="T28" s="4"/>
      <c r="U28" s="4"/>
      <c r="V28" s="4"/>
      <c r="W28" s="4"/>
      <c r="X28" s="4"/>
      <c r="Y28" s="4"/>
    </row>
    <row r="29" spans="1:25" ht="17" x14ac:dyDescent="0.2">
      <c r="A29" s="25" t="s">
        <v>38</v>
      </c>
      <c r="B29" s="26"/>
      <c r="C29" s="26"/>
      <c r="D29" s="26"/>
      <c r="E29" s="26"/>
      <c r="F29" s="26"/>
      <c r="G29" s="26"/>
      <c r="H29" s="26"/>
      <c r="I29" s="26"/>
      <c r="J29" s="28"/>
      <c r="K29" s="26"/>
      <c r="L29" s="26"/>
      <c r="M29" s="26"/>
      <c r="N29" s="26"/>
      <c r="O29" s="26"/>
      <c r="P29" s="26"/>
      <c r="Q29" s="26"/>
      <c r="R29" s="26"/>
      <c r="S29" s="26"/>
      <c r="T29" s="4"/>
      <c r="U29" s="4"/>
      <c r="V29" s="4"/>
      <c r="W29" s="4"/>
      <c r="X29" s="4"/>
      <c r="Y29" s="4"/>
    </row>
    <row r="30" spans="1:25" ht="17" x14ac:dyDescent="0.2">
      <c r="A30" s="25" t="s">
        <v>39</v>
      </c>
      <c r="B30" s="26"/>
      <c r="C30" s="26"/>
      <c r="D30" s="26"/>
      <c r="E30" s="26"/>
      <c r="F30" s="26"/>
      <c r="G30" s="26"/>
      <c r="H30" s="26"/>
      <c r="I30" s="26"/>
      <c r="J30" s="28"/>
      <c r="K30" s="26"/>
      <c r="L30" s="26"/>
      <c r="M30" s="26"/>
      <c r="N30" s="26"/>
      <c r="O30" s="26"/>
      <c r="P30" s="26"/>
      <c r="Q30" s="26"/>
      <c r="R30" s="26"/>
      <c r="S30" s="26"/>
      <c r="T30" s="4"/>
      <c r="U30" s="4"/>
      <c r="V30" s="4"/>
      <c r="W30" s="4"/>
      <c r="X30" s="4"/>
      <c r="Y30" s="4"/>
    </row>
    <row r="31" spans="1:25" ht="17" x14ac:dyDescent="0.2">
      <c r="A31" s="25" t="s">
        <v>40</v>
      </c>
      <c r="B31" s="26"/>
      <c r="C31" s="26"/>
      <c r="D31" s="26"/>
      <c r="E31" s="26"/>
      <c r="F31" s="26"/>
      <c r="G31" s="26"/>
      <c r="H31" s="26"/>
      <c r="I31" s="26"/>
      <c r="J31" s="28"/>
      <c r="K31" s="26"/>
      <c r="L31" s="26"/>
      <c r="M31" s="26"/>
      <c r="N31" s="26"/>
      <c r="O31" s="26"/>
      <c r="P31" s="26"/>
      <c r="Q31" s="26"/>
      <c r="R31" s="26"/>
      <c r="S31" s="26"/>
      <c r="T31" s="4"/>
      <c r="U31" s="4"/>
      <c r="V31" s="4"/>
      <c r="W31" s="4"/>
      <c r="X31" s="4"/>
      <c r="Y31" s="4"/>
    </row>
    <row r="32" spans="1:25" ht="34" x14ac:dyDescent="0.2">
      <c r="A32" s="30" t="s">
        <v>41</v>
      </c>
      <c r="B32" s="31">
        <f>SUM(B28:B31)</f>
        <v>3</v>
      </c>
      <c r="C32" s="31">
        <f>SUM(C28:C31)</f>
        <v>3</v>
      </c>
      <c r="D32" s="31">
        <f>SUM(D28:D31)</f>
        <v>0</v>
      </c>
      <c r="E32" s="31">
        <f>SUM(E28:E31)</f>
        <v>0</v>
      </c>
      <c r="F32" s="31" t="e">
        <f>SUM(F28:F31)</f>
        <v>#DIV/0!</v>
      </c>
      <c r="G32" s="31">
        <f>SUM(G28:G31)</f>
        <v>3980</v>
      </c>
      <c r="H32" s="31">
        <f>SUM(H28:H31)</f>
        <v>0</v>
      </c>
      <c r="I32" s="31">
        <f>SUM(I28:I31)</f>
        <v>0</v>
      </c>
      <c r="J32" s="33">
        <f>SUM(J28:J31)</f>
        <v>0</v>
      </c>
      <c r="K32" s="31">
        <f>SUM(K28:K31)</f>
        <v>0</v>
      </c>
      <c r="L32" s="31">
        <f>SUM(L28:L31)</f>
        <v>0</v>
      </c>
      <c r="M32" s="31">
        <f>SUM(M28:M31)</f>
        <v>0</v>
      </c>
      <c r="N32" s="31">
        <f>SUM(N28:N31)</f>
        <v>12</v>
      </c>
      <c r="O32" s="31">
        <f>SUM(O28:O31)</f>
        <v>10</v>
      </c>
      <c r="P32" s="31">
        <f>SUM(P28:P31)</f>
        <v>7</v>
      </c>
      <c r="Q32" s="31">
        <f>SUM(Q28:Q31)</f>
        <v>5</v>
      </c>
      <c r="R32" s="32">
        <f>SUM(R28:R31)</f>
        <v>0.7142857142857143</v>
      </c>
      <c r="S32" s="31">
        <f>SUM(S28:S31)</f>
        <v>51740</v>
      </c>
      <c r="T32" s="4"/>
      <c r="U32" s="4"/>
      <c r="V32" s="4"/>
      <c r="W32" s="4"/>
      <c r="X32" s="4"/>
      <c r="Y32" s="4"/>
    </row>
    <row r="33" spans="1:25" x14ac:dyDescent="0.2">
      <c r="A33" s="34" t="s">
        <v>46</v>
      </c>
      <c r="B33" s="35" t="s">
        <v>47</v>
      </c>
      <c r="C33" s="35" t="s">
        <v>48</v>
      </c>
      <c r="D33" s="35" t="s">
        <v>49</v>
      </c>
      <c r="E33" s="35" t="s">
        <v>50</v>
      </c>
      <c r="F33" s="35" t="s">
        <v>51</v>
      </c>
      <c r="G33" s="35" t="s">
        <v>52</v>
      </c>
      <c r="H33" s="35" t="s">
        <v>53</v>
      </c>
      <c r="I33" s="35" t="s">
        <v>44</v>
      </c>
      <c r="J33" s="36"/>
      <c r="K33" s="36" t="s">
        <v>54</v>
      </c>
      <c r="L33" s="36" t="s">
        <v>55</v>
      </c>
      <c r="M33" s="36" t="s">
        <v>56</v>
      </c>
      <c r="N33" s="36" t="s">
        <v>57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8" x14ac:dyDescent="0.2">
      <c r="A34" s="34" t="s">
        <v>58</v>
      </c>
      <c r="B34" s="37"/>
      <c r="C34" s="37"/>
      <c r="D34" s="37"/>
      <c r="E34" s="37"/>
      <c r="F34" s="37"/>
      <c r="G34" s="37"/>
      <c r="H34" s="37"/>
      <c r="I34" s="37"/>
      <c r="J34" s="36" t="s">
        <v>59</v>
      </c>
      <c r="K34" s="36">
        <v>11</v>
      </c>
      <c r="L34" s="36">
        <v>5</v>
      </c>
      <c r="M34" s="36">
        <v>6</v>
      </c>
      <c r="N34" s="36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8" x14ac:dyDescent="0.2">
      <c r="A35" s="34" t="s">
        <v>60</v>
      </c>
      <c r="B35" s="38">
        <f>J10/8</f>
        <v>11940</v>
      </c>
      <c r="C35" s="38">
        <v>8</v>
      </c>
      <c r="D35" s="39">
        <f>8/13</f>
        <v>0.61538461538461542</v>
      </c>
      <c r="E35" s="39">
        <f>10/12</f>
        <v>0.83333333333333337</v>
      </c>
      <c r="F35" s="39">
        <f>7/10</f>
        <v>0.7</v>
      </c>
      <c r="G35" s="38">
        <f>S32</f>
        <v>51740</v>
      </c>
      <c r="H35" s="38">
        <f>Y18</f>
        <v>43780</v>
      </c>
      <c r="I35" s="38">
        <f>G35+H35</f>
        <v>95520</v>
      </c>
      <c r="J35" s="36" t="s">
        <v>61</v>
      </c>
      <c r="K35" s="36">
        <v>5</v>
      </c>
      <c r="L35" s="36">
        <v>5</v>
      </c>
      <c r="M35" s="36">
        <v>5</v>
      </c>
      <c r="N35" s="36">
        <v>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64" x14ac:dyDescent="0.2">
      <c r="A36" s="34" t="s">
        <v>62</v>
      </c>
      <c r="B36" s="37" t="s">
        <v>63</v>
      </c>
      <c r="C36" s="37"/>
      <c r="D36" s="37"/>
      <c r="E36" s="37"/>
      <c r="F36" s="37"/>
      <c r="G36" s="37"/>
      <c r="H36" s="37"/>
      <c r="I36" s="37"/>
      <c r="J36" s="40" t="s">
        <v>44</v>
      </c>
      <c r="K36" s="41">
        <f>SUM(K34:K35)</f>
        <v>16</v>
      </c>
      <c r="L36" s="41">
        <f t="shared" ref="L36:M36" si="4">SUM(L34:L35)</f>
        <v>10</v>
      </c>
      <c r="M36" s="41">
        <f t="shared" si="4"/>
        <v>11</v>
      </c>
      <c r="N36" s="41">
        <v>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32">
    <mergeCell ref="H33:H34"/>
    <mergeCell ref="I33:I34"/>
    <mergeCell ref="B36:I36"/>
    <mergeCell ref="B33:B34"/>
    <mergeCell ref="C33:C34"/>
    <mergeCell ref="D33:D34"/>
    <mergeCell ref="E33:E34"/>
    <mergeCell ref="F33:F34"/>
    <mergeCell ref="G33:G34"/>
    <mergeCell ref="T11:Y11"/>
    <mergeCell ref="A19:A20"/>
    <mergeCell ref="B19:G19"/>
    <mergeCell ref="H19:M19"/>
    <mergeCell ref="N19:S19"/>
    <mergeCell ref="A26:A27"/>
    <mergeCell ref="B26:G26"/>
    <mergeCell ref="H26:M26"/>
    <mergeCell ref="N26:S26"/>
    <mergeCell ref="K1:L3"/>
    <mergeCell ref="M1:M3"/>
    <mergeCell ref="N1:N3"/>
    <mergeCell ref="O1:O3"/>
    <mergeCell ref="A11:A12"/>
    <mergeCell ref="B11:G11"/>
    <mergeCell ref="H11:M11"/>
    <mergeCell ref="N11:S11"/>
    <mergeCell ref="A1:A4"/>
    <mergeCell ref="B1:B4"/>
    <mergeCell ref="C1:D3"/>
    <mergeCell ref="E1:F3"/>
    <mergeCell ref="G1:H3"/>
    <mergeCell ref="I1:J3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2021-08-30T09:24:08Z</dcterms:created>
  <dcterms:modified xsi:type="dcterms:W3CDTF">2021-08-30T09:24:34Z</dcterms:modified>
</cp:coreProperties>
</file>